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NANS_AI\01_RAW\"/>
    </mc:Choice>
  </mc:AlternateContent>
  <xr:revisionPtr revIDLastSave="0" documentId="13_ncr:20001_{F1D336AB-C06D-4AB4-8003-F9924A4E728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📋 ANAsayfa" sheetId="1" r:id="rId1"/>
    <sheet name="📒 Muavin Defter" sheetId="2" r:id="rId2"/>
    <sheet name="🗂 Hesap Planı" sheetId="3" r:id="rId3"/>
    <sheet name="📊 Bilanço" sheetId="4" r:id="rId4"/>
    <sheet name="📈 Gelir Tablosu" sheetId="5" r:id="rId5"/>
    <sheet name="💡 EBITDA" sheetId="6" r:id="rId6"/>
    <sheet name="🏭 Üretim Reçetesi" sheetId="7" r:id="rId7"/>
    <sheet name="📦 Malzeme Ekstresi" sheetId="8" r:id="rId8"/>
    <sheet name="💰 Üretim Maliyet" sheetId="9" r:id="rId9"/>
    <sheet name="🏗 Sabit Kıymet" sheetId="10" r:id="rId10"/>
    <sheet name="📉 Finansal Özet" sheetId="11" r:id="rId11"/>
    <sheet name="🔧 Master Liste" sheetId="12" r:id="rId12"/>
  </sheets>
  <definedNames>
    <definedName name="_xlnm._FilterDatabase" localSheetId="9" hidden="1">'🏗 Sabit Kıymet'!$A$3:$P$3</definedName>
    <definedName name="_xlnm._FilterDatabase" localSheetId="6" hidden="1">'🏭 Üretim Reçetesi'!$A$4:$L$4</definedName>
    <definedName name="_xlnm._FilterDatabase" localSheetId="1" hidden="1">'📒 Muavin Defter'!$A$6:$Y$6</definedName>
    <definedName name="_xlnm._FilterDatabase" localSheetId="7" hidden="1">'📦 Malzeme Ekstresi'!$A$4:$N$4</definedName>
    <definedName name="_xlnm._FilterDatabase" localSheetId="2" hidden="1">'🗂 Hesap Planı'!$A$3:$J$3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0" l="1"/>
  <c r="M8" i="10"/>
  <c r="J8" i="10"/>
  <c r="I8" i="10"/>
  <c r="E8" i="10"/>
  <c r="J7" i="10"/>
  <c r="H7" i="10"/>
  <c r="K7" i="10" s="1"/>
  <c r="J6" i="10"/>
  <c r="H6" i="10"/>
  <c r="K6" i="10" s="1"/>
  <c r="J5" i="10"/>
  <c r="H5" i="10"/>
  <c r="K5" i="10" s="1"/>
  <c r="J4" i="10"/>
  <c r="H4" i="10"/>
  <c r="K4" i="10" s="1"/>
  <c r="K8" i="10" s="1"/>
  <c r="G30" i="9"/>
  <c r="G27" i="9"/>
  <c r="G22" i="9"/>
  <c r="G21" i="9"/>
  <c r="G20" i="9"/>
  <c r="G19" i="9"/>
  <c r="G18" i="9"/>
  <c r="G17" i="9"/>
  <c r="G16" i="9"/>
  <c r="G12" i="9"/>
  <c r="G11" i="9"/>
  <c r="G7" i="9"/>
  <c r="G6" i="9"/>
  <c r="G8" i="8"/>
  <c r="F8" i="8"/>
  <c r="E8" i="8"/>
  <c r="L7" i="8"/>
  <c r="L8" i="8" s="1"/>
  <c r="K7" i="8"/>
  <c r="K8" i="8" s="1"/>
  <c r="J7" i="8"/>
  <c r="J8" i="8" s="1"/>
  <c r="H7" i="8"/>
  <c r="H8" i="8" s="1"/>
  <c r="L6" i="8"/>
  <c r="K6" i="8"/>
  <c r="J6" i="8"/>
  <c r="H6" i="8"/>
  <c r="M6" i="8" s="1"/>
  <c r="L5" i="8"/>
  <c r="K5" i="8"/>
  <c r="J5" i="8"/>
  <c r="H5" i="8"/>
  <c r="M5" i="8" s="1"/>
  <c r="K7" i="7"/>
  <c r="I7" i="7"/>
  <c r="K6" i="7"/>
  <c r="I6" i="7"/>
  <c r="K5" i="7"/>
  <c r="I5" i="7"/>
  <c r="G18" i="6"/>
  <c r="G17" i="6"/>
  <c r="G16" i="6"/>
  <c r="G15" i="6"/>
  <c r="G12" i="6"/>
  <c r="G11" i="6"/>
  <c r="G10" i="6"/>
  <c r="G9" i="6"/>
  <c r="G8" i="6"/>
  <c r="G7" i="6"/>
  <c r="G6" i="6"/>
  <c r="G5" i="6"/>
  <c r="G40" i="5"/>
  <c r="G37" i="5"/>
  <c r="G36" i="5"/>
  <c r="G33" i="5"/>
  <c r="G32" i="5"/>
  <c r="G28" i="5"/>
  <c r="G22" i="5"/>
  <c r="G21" i="5"/>
  <c r="G20" i="5"/>
  <c r="G14" i="5"/>
  <c r="G13" i="5"/>
  <c r="G12" i="5"/>
  <c r="G8" i="5"/>
  <c r="G7" i="5"/>
  <c r="G6" i="5"/>
  <c r="G58" i="4"/>
  <c r="G57" i="4"/>
  <c r="G56" i="4"/>
  <c r="G55" i="4"/>
  <c r="G54" i="4"/>
  <c r="G50" i="4"/>
  <c r="G49" i="4"/>
  <c r="G48" i="4"/>
  <c r="G47" i="4"/>
  <c r="G46" i="4"/>
  <c r="G45" i="4"/>
  <c r="G44" i="4"/>
  <c r="G40" i="4"/>
  <c r="G39" i="4"/>
  <c r="G38" i="4"/>
  <c r="G37" i="4"/>
  <c r="G36" i="4"/>
  <c r="G35" i="4"/>
  <c r="G34" i="4"/>
  <c r="G33" i="4"/>
  <c r="G32" i="4"/>
  <c r="G25" i="4"/>
  <c r="G24" i="4"/>
  <c r="G23" i="4"/>
  <c r="G22" i="4"/>
  <c r="G21" i="4"/>
  <c r="G20" i="4"/>
  <c r="G19" i="4"/>
  <c r="G18" i="4"/>
  <c r="G14" i="4"/>
  <c r="G13" i="4"/>
  <c r="G12" i="4"/>
  <c r="G11" i="4"/>
  <c r="G10" i="4"/>
  <c r="G9" i="4"/>
  <c r="G8" i="4"/>
  <c r="G7" i="4"/>
  <c r="V38" i="2"/>
  <c r="U38" i="2"/>
  <c r="W38" i="2" s="1"/>
  <c r="S38" i="2"/>
  <c r="V37" i="2"/>
  <c r="U37" i="2"/>
  <c r="W37" i="2" s="1"/>
  <c r="S37" i="2"/>
  <c r="V36" i="2"/>
  <c r="U36" i="2"/>
  <c r="W36" i="2" s="1"/>
  <c r="S36" i="2"/>
  <c r="V35" i="2"/>
  <c r="U35" i="2"/>
  <c r="S35" i="2"/>
  <c r="V34" i="2"/>
  <c r="U34" i="2"/>
  <c r="W34" i="2" s="1"/>
  <c r="S34" i="2"/>
  <c r="V33" i="2"/>
  <c r="U33" i="2"/>
  <c r="S33" i="2"/>
  <c r="V32" i="2"/>
  <c r="U32" i="2"/>
  <c r="W32" i="2" s="1"/>
  <c r="S32" i="2"/>
  <c r="V31" i="2"/>
  <c r="U31" i="2"/>
  <c r="S31" i="2"/>
  <c r="V30" i="2"/>
  <c r="U30" i="2"/>
  <c r="W30" i="2" s="1"/>
  <c r="S30" i="2"/>
  <c r="V29" i="2"/>
  <c r="U29" i="2"/>
  <c r="W29" i="2" s="1"/>
  <c r="S29" i="2"/>
  <c r="V28" i="2"/>
  <c r="U28" i="2"/>
  <c r="W28" i="2" s="1"/>
  <c r="S28" i="2"/>
  <c r="V27" i="2"/>
  <c r="U27" i="2"/>
  <c r="W27" i="2" s="1"/>
  <c r="S27" i="2"/>
  <c r="V26" i="2"/>
  <c r="U26" i="2"/>
  <c r="W26" i="2" s="1"/>
  <c r="S26" i="2"/>
  <c r="V25" i="2"/>
  <c r="U25" i="2"/>
  <c r="W25" i="2" s="1"/>
  <c r="S25" i="2"/>
  <c r="V24" i="2"/>
  <c r="U24" i="2"/>
  <c r="W24" i="2" s="1"/>
  <c r="S24" i="2"/>
  <c r="V23" i="2"/>
  <c r="U23" i="2"/>
  <c r="W23" i="2" s="1"/>
  <c r="S23" i="2"/>
  <c r="V22" i="2"/>
  <c r="U22" i="2"/>
  <c r="S22" i="2"/>
  <c r="V21" i="2"/>
  <c r="U21" i="2"/>
  <c r="W21" i="2" s="1"/>
  <c r="S21" i="2"/>
  <c r="V20" i="2"/>
  <c r="U20" i="2"/>
  <c r="S20" i="2"/>
  <c r="V19" i="2"/>
  <c r="U19" i="2"/>
  <c r="W19" i="2" s="1"/>
  <c r="S19" i="2"/>
  <c r="V18" i="2"/>
  <c r="U18" i="2"/>
  <c r="W18" i="2" s="1"/>
  <c r="S18" i="2"/>
  <c r="V17" i="2"/>
  <c r="U17" i="2"/>
  <c r="W17" i="2" s="1"/>
  <c r="S17" i="2"/>
  <c r="V16" i="2"/>
  <c r="U16" i="2"/>
  <c r="S16" i="2"/>
  <c r="V15" i="2"/>
  <c r="U15" i="2"/>
  <c r="W15" i="2" s="1"/>
  <c r="S15" i="2"/>
  <c r="V14" i="2"/>
  <c r="U14" i="2"/>
  <c r="W14" i="2" s="1"/>
  <c r="S14" i="2"/>
  <c r="V13" i="2"/>
  <c r="U13" i="2"/>
  <c r="S13" i="2"/>
  <c r="V12" i="2"/>
  <c r="U12" i="2"/>
  <c r="S12" i="2"/>
  <c r="V11" i="2"/>
  <c r="U11" i="2"/>
  <c r="S11" i="2"/>
  <c r="V10" i="2"/>
  <c r="U10" i="2"/>
  <c r="S10" i="2"/>
  <c r="V9" i="2"/>
  <c r="U9" i="2"/>
  <c r="S9" i="2"/>
  <c r="V8" i="2"/>
  <c r="U8" i="2"/>
  <c r="S8" i="2"/>
  <c r="V7" i="2"/>
  <c r="U7" i="2"/>
  <c r="S7" i="2"/>
  <c r="W11" i="2" l="1"/>
  <c r="W31" i="2"/>
  <c r="W13" i="2"/>
  <c r="W33" i="2"/>
  <c r="W12" i="2"/>
  <c r="W9" i="2"/>
  <c r="W35" i="2"/>
  <c r="W10" i="2"/>
  <c r="W8" i="2"/>
  <c r="W20" i="2"/>
  <c r="W16" i="2"/>
  <c r="W22" i="2"/>
  <c r="M7" i="8"/>
  <c r="M8" i="8" s="1"/>
  <c r="W7" i="2"/>
  <c r="K8" i="7"/>
</calcChain>
</file>

<file path=xl/sharedStrings.xml><?xml version="1.0" encoding="utf-8"?>
<sst xmlns="http://schemas.openxmlformats.org/spreadsheetml/2006/main" count="1340" uniqueCount="847">
  <si>
    <t>STANDART MUHASEBE VERİ ŞABLONLARİ  |  Standard Accounting Data Templates</t>
  </si>
  <si>
    <t>#</t>
  </si>
  <si>
    <t>Rapor Adı</t>
  </si>
  <si>
    <t>Açıklama</t>
  </si>
  <si>
    <t>Sayfa</t>
  </si>
  <si>
    <t>Muavin Defter</t>
  </si>
  <si>
    <t>Ana &amp; Alt Hesaplar – Sonsuz Hiyerarşi (THP 1-9)</t>
  </si>
  <si>
    <t>Hesap Planı Şablonu</t>
  </si>
  <si>
    <t>Standart THP 1-9 hesap ağacı + normalize sütunları</t>
  </si>
  <si>
    <t>Bilanço</t>
  </si>
  <si>
    <t>Aktif / Pasif standart format</t>
  </si>
  <si>
    <t>Gelir Tablosu</t>
  </si>
  <si>
    <t>Brüt kâr → EBITDA → Net kâr satırları</t>
  </si>
  <si>
    <t>EBITDA Köprüsü</t>
  </si>
  <si>
    <t>EBITDA hesaplama ve dönem karşılaştırma</t>
  </si>
  <si>
    <t>Üretim Reçetesi (BOM)</t>
  </si>
  <si>
    <t>Ürün bazlı malzeme listesi</t>
  </si>
  <si>
    <t>Malzeme Ekstresi</t>
  </si>
  <si>
    <t>Hammadde / yarı mamül hareket tablosu</t>
  </si>
  <si>
    <t>Üretim Maliyet Tablosu</t>
  </si>
  <si>
    <t>Direkt ilk madde, işçilik, GÜG dağılımı</t>
  </si>
  <si>
    <t>Sabit Kıymet Listesi</t>
  </si>
  <si>
    <t>Amortisman + net defter değeri</t>
  </si>
  <si>
    <t>Finansal Tablolar Özeti</t>
  </si>
  <si>
    <t>Çok dönemli özet + oran analizi</t>
  </si>
  <si>
    <t>Veri Doğrulama Listesi</t>
  </si>
  <si>
    <t>Kaynak sistem, dönem, para birimi vb. master listeler</t>
  </si>
  <si>
    <t>⚠️  RENK KODLARI:  🔵 Mavi metin = Manuel giriş  |  ⚫ Siyah metin = Formül  |  🟢 Yeşil metin = Çapraz sayfa bağlantısı  |  🟡 Sarı zemin = Dikkat alanı</t>
  </si>
  <si>
    <t>MUAVİN DEFTER – STANDART VERİ ŞABLONİ  |  Subsidiary Ledger Standard Template</t>
  </si>
  <si>
    <t>Şirket Adı / Company:</t>
  </si>
  <si>
    <t>Dönem / Period:</t>
  </si>
  <si>
    <t>Para Birimi / Currency:</t>
  </si>
  <si>
    <t>TRY</t>
  </si>
  <si>
    <t>Kaynak Sistem / Source:</t>
  </si>
  <si>
    <t>Versiyon No:</t>
  </si>
  <si>
    <t>v1.0</t>
  </si>
  <si>
    <t>Onay / Approved By:</t>
  </si>
  <si>
    <t>Hesap Sınıfı / Class:</t>
  </si>
  <si>
    <t>TÜM SINIFLAR (1-9)</t>
  </si>
  <si>
    <t>Sınıf
Class</t>
  </si>
  <si>
    <t>Ana Hesap Kodu
Main Account</t>
  </si>
  <si>
    <t>Alt Hesap 1
Sub-Account 1</t>
  </si>
  <si>
    <t>Alt Hesap 2
Sub-Account 2</t>
  </si>
  <si>
    <t>Alt Hesap 3
Sub-Account 3</t>
  </si>
  <si>
    <t>Alt Hesap 4+
Sub-Account 4+</t>
  </si>
  <si>
    <t>Tam Hesap Kodu
Full Account Code</t>
  </si>
  <si>
    <t>Hesap Adı (TR)
Account Name TR</t>
  </si>
  <si>
    <t>Hesap Adı (EN)
Account Name EN</t>
  </si>
  <si>
    <t>Hesap Tipi
Acc. Type</t>
  </si>
  <si>
    <t>İşlem Tarihi
Trans. Date</t>
  </si>
  <si>
    <t>Belge No
Doc. Number</t>
  </si>
  <si>
    <t>Belge Türü
Doc. Type</t>
  </si>
  <si>
    <t>Açıklama
Description</t>
  </si>
  <si>
    <t>Karşı Hesap Kodu
Counter Acc. Code</t>
  </si>
  <si>
    <t>Karşı Hesap Açıklaması
Counter Acc. Description</t>
  </si>
  <si>
    <t>Borç (DR)
Debit</t>
  </si>
  <si>
    <t>Alacak (CR)
Credit</t>
  </si>
  <si>
    <t>Bakiye
Balance</t>
  </si>
  <si>
    <t>Döviz Kuru
Exchange Rate</t>
  </si>
  <si>
    <t>Dövizli Borç
FCY Debit</t>
  </si>
  <si>
    <t>Dövizli Alacak
FCY Credit</t>
  </si>
  <si>
    <t>Dövizli Bakiye
FCY Balance</t>
  </si>
  <si>
    <t>Maliyet Merkezi
Cost Center</t>
  </si>
  <si>
    <t>Kaynak Sistem
Source System</t>
  </si>
  <si>
    <t>1</t>
  </si>
  <si>
    <t>100</t>
  </si>
  <si>
    <t>100.01</t>
  </si>
  <si>
    <t>MERKEZ KASA</t>
  </si>
  <si>
    <t>Aktif</t>
  </si>
  <si>
    <t>01.01.2024</t>
  </si>
  <si>
    <t>100.01.001</t>
  </si>
  <si>
    <t>TL KASA</t>
  </si>
  <si>
    <t>15.01.2024</t>
  </si>
  <si>
    <t>GID-00001</t>
  </si>
  <si>
    <t>Gider Fişi</t>
  </si>
  <si>
    <t>Ofis malzeme alımı</t>
  </si>
  <si>
    <t>5.000,00</t>
  </si>
  <si>
    <t>100.01.001.A</t>
  </si>
  <si>
    <t>TL KASA – ŞUBE A</t>
  </si>
  <si>
    <t>Ofis malzeme alımı – Şube A</t>
  </si>
  <si>
    <t>102</t>
  </si>
  <si>
    <t>BANKALAR</t>
  </si>
  <si>
    <t>102.01</t>
  </si>
  <si>
    <t>ZİRAAT BANKASI A.Ş.</t>
  </si>
  <si>
    <t>05.01.2024</t>
  </si>
  <si>
    <t>EFT-10055</t>
  </si>
  <si>
    <t>Banka Dekontu</t>
  </si>
  <si>
    <t>Tahsilat – Müşteri A</t>
  </si>
  <si>
    <t>25.000,00</t>
  </si>
  <si>
    <t>102.01.001</t>
  </si>
  <si>
    <t>ZİRAAT – VADESIZ TL</t>
  </si>
  <si>
    <t>Tahsilat</t>
  </si>
  <si>
    <t>3</t>
  </si>
  <si>
    <t>320</t>
  </si>
  <si>
    <t>SATICILAR</t>
  </si>
  <si>
    <t>Pasif</t>
  </si>
  <si>
    <t>320.01</t>
  </si>
  <si>
    <t>YURTİÇİ SATICILAR</t>
  </si>
  <si>
    <t>10.01.2024</t>
  </si>
  <si>
    <t>FAT-2024001</t>
  </si>
  <si>
    <t>Alış Faturası</t>
  </si>
  <si>
    <t>Ham madde – Tedarikçi X</t>
  </si>
  <si>
    <t>18.000,00</t>
  </si>
  <si>
    <t>6</t>
  </si>
  <si>
    <t>600</t>
  </si>
  <si>
    <t>YURTİÇİ SATIŞLAR</t>
  </si>
  <si>
    <t>Gelir</t>
  </si>
  <si>
    <t>600.01</t>
  </si>
  <si>
    <t>MAMUL SATIŞ</t>
  </si>
  <si>
    <t>20.01.2024</t>
  </si>
  <si>
    <t>SAT-2024015</t>
  </si>
  <si>
    <t>Satış Faturası</t>
  </si>
  <si>
    <t>Müşteri B – Mamul A</t>
  </si>
  <si>
    <t>50.000,00</t>
  </si>
  <si>
    <t>7</t>
  </si>
  <si>
    <t>710</t>
  </si>
  <si>
    <t>DİR. İLK MADDE VE MALZ. GİD.</t>
  </si>
  <si>
    <t>Maliyet</t>
  </si>
  <si>
    <t>710.01</t>
  </si>
  <si>
    <t>HAM MADDE TÜKETİMİ</t>
  </si>
  <si>
    <t>25.01.2024</t>
  </si>
  <si>
    <t>ÜRT-00101</t>
  </si>
  <si>
    <t>Üretim Fişi</t>
  </si>
  <si>
    <t>Ürün A ham madde tüketimi</t>
  </si>
  <si>
    <t>12.000,00</t>
  </si>
  <si>
    <t>STANDART TEK DÜZEN HESAP PLANI  |  Standard Chart of Accounts (THP 1-9)</t>
  </si>
  <si>
    <t>Grup
Group</t>
  </si>
  <si>
    <t>Ana Hesap
Main Acc.</t>
  </si>
  <si>
    <t>Alt Hesap 1</t>
  </si>
  <si>
    <t>Alt Hesap 2</t>
  </si>
  <si>
    <t>Alt Hesap 3+</t>
  </si>
  <si>
    <t>Hesap Adı (TR)</t>
  </si>
  <si>
    <t>Hesap Adı (EN)</t>
  </si>
  <si>
    <t>Normal Bakiye
Normal Bal.</t>
  </si>
  <si>
    <t>Bilanço / GK
B/S or P&amp;L</t>
  </si>
  <si>
    <t>SINIF 1 – DÖNEN VARLIKLAR  |  CURRENT ASSETS</t>
  </si>
  <si>
    <t>10</t>
  </si>
  <si>
    <t>Hazır Değerler</t>
  </si>
  <si>
    <t>Cash &amp; Cash Equivalents</t>
  </si>
  <si>
    <t>Borç</t>
  </si>
  <si>
    <t>Bilanço - Aktif</t>
  </si>
  <si>
    <t>Kasa</t>
  </si>
  <si>
    <t>Cash on Hand</t>
  </si>
  <si>
    <t>Merkez Kasa</t>
  </si>
  <si>
    <t>Head Office Cash</t>
  </si>
  <si>
    <t>TL Kasa</t>
  </si>
  <si>
    <t>TL Cash Account</t>
  </si>
  <si>
    <t>101</t>
  </si>
  <si>
    <t>Alınan Çekler</t>
  </si>
  <si>
    <t>Checks Received</t>
  </si>
  <si>
    <t>Bankalar</t>
  </si>
  <si>
    <t>Banks</t>
  </si>
  <si>
    <t>103</t>
  </si>
  <si>
    <t>Verilen Çekler ve Ödeme Emirleri (-)</t>
  </si>
  <si>
    <t>Issued Checks (-)</t>
  </si>
  <si>
    <t>Alacak</t>
  </si>
  <si>
    <t>108</t>
  </si>
  <si>
    <t>Diğer Hazır Değerler</t>
  </si>
  <si>
    <t>Other Cash Equivalents</t>
  </si>
  <si>
    <t>11</t>
  </si>
  <si>
    <t>Menkul Kıymetler</t>
  </si>
  <si>
    <t>Marketable Securities</t>
  </si>
  <si>
    <t>12</t>
  </si>
  <si>
    <t>Ticari Alacaklar</t>
  </si>
  <si>
    <t>Trade Receivables</t>
  </si>
  <si>
    <t>120</t>
  </si>
  <si>
    <t>Alıcılar</t>
  </si>
  <si>
    <t>Customers / Trade Debtors</t>
  </si>
  <si>
    <t>121</t>
  </si>
  <si>
    <t>Alacak Senetleri</t>
  </si>
  <si>
    <t>Notes Receivable</t>
  </si>
  <si>
    <t>122</t>
  </si>
  <si>
    <t>Alacak Senetleri Reeskontu (-)</t>
  </si>
  <si>
    <t>Disc. on Notes Rec. (-)</t>
  </si>
  <si>
    <t>126</t>
  </si>
  <si>
    <t>Verilen Depozito ve Teminatlar</t>
  </si>
  <si>
    <t>Deposits &amp; Guarantees Given</t>
  </si>
  <si>
    <t>13</t>
  </si>
  <si>
    <t>Diğer Alacaklar</t>
  </si>
  <si>
    <t>Other Receivables</t>
  </si>
  <si>
    <t>15</t>
  </si>
  <si>
    <t>Stoklar</t>
  </si>
  <si>
    <t>Inventories</t>
  </si>
  <si>
    <t>150</t>
  </si>
  <si>
    <t>İlk Madde ve Malzeme</t>
  </si>
  <si>
    <t>Raw Materials</t>
  </si>
  <si>
    <t>151</t>
  </si>
  <si>
    <t>Yarı Mamuller – Üretim</t>
  </si>
  <si>
    <t>WIP – Production</t>
  </si>
  <si>
    <t>152</t>
  </si>
  <si>
    <t>Mamuller</t>
  </si>
  <si>
    <t>Finished Goods</t>
  </si>
  <si>
    <t>153</t>
  </si>
  <si>
    <t>Ticari Mallar</t>
  </si>
  <si>
    <t>Merchandise</t>
  </si>
  <si>
    <t>157</t>
  </si>
  <si>
    <t>Diğer Stoklar</t>
  </si>
  <si>
    <t>Other Inventories</t>
  </si>
  <si>
    <t>158</t>
  </si>
  <si>
    <t>Stok Değer Düşüklüğü Karşılığı (-)</t>
  </si>
  <si>
    <t>Inv. Impairment Prov. (-)</t>
  </si>
  <si>
    <t>18</t>
  </si>
  <si>
    <t>Gelecek Aylara Ait Giderler</t>
  </si>
  <si>
    <t>Prepaid Expenses</t>
  </si>
  <si>
    <t>SINIF 2 – DURAN VARLIKLAR  |  NON-CURRENT ASSETS</t>
  </si>
  <si>
    <t>2</t>
  </si>
  <si>
    <t>25</t>
  </si>
  <si>
    <t>Maddi Duran Varlıklar</t>
  </si>
  <si>
    <t>Property, Plant &amp; Equipment</t>
  </si>
  <si>
    <t>250</t>
  </si>
  <si>
    <t>Arazi ve Arsalar</t>
  </si>
  <si>
    <t>Land</t>
  </si>
  <si>
    <t>251</t>
  </si>
  <si>
    <t>Yeraltı ve Yerüstü Düzenleri</t>
  </si>
  <si>
    <t>Land Improvements</t>
  </si>
  <si>
    <t>252</t>
  </si>
  <si>
    <t>Binalar</t>
  </si>
  <si>
    <t>Buildings</t>
  </si>
  <si>
    <t>253</t>
  </si>
  <si>
    <t>Tesis, Makine ve Cihazlar</t>
  </si>
  <si>
    <t>Machinery &amp; Equipment</t>
  </si>
  <si>
    <t>254</t>
  </si>
  <si>
    <t>Taşıtlar</t>
  </si>
  <si>
    <t>Vehicles</t>
  </si>
  <si>
    <t>255</t>
  </si>
  <si>
    <t>Demirbaşlar</t>
  </si>
  <si>
    <t>Fixtures &amp; Fittings</t>
  </si>
  <si>
    <t>257</t>
  </si>
  <si>
    <t>Birikmiş Amortismanlar (-)</t>
  </si>
  <si>
    <t>Accumulated Depreciation (-)</t>
  </si>
  <si>
    <t>26</t>
  </si>
  <si>
    <t>Maddi Olmayan Duran Varlıklar</t>
  </si>
  <si>
    <t>Intangible Assets</t>
  </si>
  <si>
    <t>260</t>
  </si>
  <si>
    <t>Haklar</t>
  </si>
  <si>
    <t>Rights / Licenses</t>
  </si>
  <si>
    <t>268</t>
  </si>
  <si>
    <t>Birikmiş İtfa Payları (-)</t>
  </si>
  <si>
    <t>Accumulated Amortization (-)</t>
  </si>
  <si>
    <t>SINIF 3 – KISA VADELİ YABANCI KAYNAKLAR  |  CURRENT LIABILITIES</t>
  </si>
  <si>
    <t>30</t>
  </si>
  <si>
    <t>Mali Borçlar</t>
  </si>
  <si>
    <t>Financial Liabilities – Current</t>
  </si>
  <si>
    <t>Bilanço - Pasif</t>
  </si>
  <si>
    <t>300</t>
  </si>
  <si>
    <t>Banka Kredileri</t>
  </si>
  <si>
    <t>Bank Loans</t>
  </si>
  <si>
    <t>303</t>
  </si>
  <si>
    <t>Uzun Vadeli Kredilerin Anapara Taksitleri</t>
  </si>
  <si>
    <t>Current Portion LT Loans</t>
  </si>
  <si>
    <t>32</t>
  </si>
  <si>
    <t>Ticari Borçlar</t>
  </si>
  <si>
    <t>Trade Payables</t>
  </si>
  <si>
    <t>Satıcılar</t>
  </si>
  <si>
    <t>Suppliers / Trade Creditors</t>
  </si>
  <si>
    <t>321</t>
  </si>
  <si>
    <t>Borç Senetleri</t>
  </si>
  <si>
    <t>Notes Payable</t>
  </si>
  <si>
    <t>33</t>
  </si>
  <si>
    <t>Diğer Borçlar</t>
  </si>
  <si>
    <t>Other Payables</t>
  </si>
  <si>
    <t>36</t>
  </si>
  <si>
    <t>Ödenecek Vergi ve Yükümlülükler</t>
  </si>
  <si>
    <t>Taxes &amp; Duties Payable</t>
  </si>
  <si>
    <t>360</t>
  </si>
  <si>
    <t>Ödenecek Vergi ve Fonlar</t>
  </si>
  <si>
    <t>Taxes Payable</t>
  </si>
  <si>
    <t>361</t>
  </si>
  <si>
    <t>Ödenecek Sosyal Güvenlik Kesintileri</t>
  </si>
  <si>
    <t>SGK Payable</t>
  </si>
  <si>
    <t>37</t>
  </si>
  <si>
    <t>Borç ve Gider Karşılıkları</t>
  </si>
  <si>
    <t>Accrued Liabilities</t>
  </si>
  <si>
    <t>SINIF 4 – UZUN VADELİ YABANCI KAYNAKLAR  |  NON-CURRENT LIABILITIES</t>
  </si>
  <si>
    <t>4</t>
  </si>
  <si>
    <t>40</t>
  </si>
  <si>
    <t>Financial Liabilities – LT</t>
  </si>
  <si>
    <t>400</t>
  </si>
  <si>
    <t>Long-term Bank Loans</t>
  </si>
  <si>
    <t>SINIF 5 – ÖZ KAYNAKLAR  |  EQUITY</t>
  </si>
  <si>
    <t>5</t>
  </si>
  <si>
    <t>50</t>
  </si>
  <si>
    <t>Ödenmiş Sermaye</t>
  </si>
  <si>
    <t>Paid-in Capital</t>
  </si>
  <si>
    <t>500</t>
  </si>
  <si>
    <t>Sermaye</t>
  </si>
  <si>
    <t>Capital</t>
  </si>
  <si>
    <t>52</t>
  </si>
  <si>
    <t>Sermaye Yedekleri</t>
  </si>
  <si>
    <t>Capital Reserves</t>
  </si>
  <si>
    <t>54</t>
  </si>
  <si>
    <t>Kâr Yedekleri</t>
  </si>
  <si>
    <t>Retained Earnings Reserves</t>
  </si>
  <si>
    <t>57</t>
  </si>
  <si>
    <t>Geçmiş Yıllar Kârları</t>
  </si>
  <si>
    <t>Prior Year Profits</t>
  </si>
  <si>
    <t>58</t>
  </si>
  <si>
    <t>Geçmiş Yıllar Zararları (-)</t>
  </si>
  <si>
    <t>Prior Year Losses (-)</t>
  </si>
  <si>
    <t>59</t>
  </si>
  <si>
    <t>Dönem Net Kârı / Zararı</t>
  </si>
  <si>
    <t>Net Income / Loss</t>
  </si>
  <si>
    <t>SINIF 6 – GELİR TABLOSU  |  INCOME STATEMENT</t>
  </si>
  <si>
    <t>60</t>
  </si>
  <si>
    <t>Satışlar (Brüt)</t>
  </si>
  <si>
    <t>Gross Sales</t>
  </si>
  <si>
    <t>Yurt İçi Satışlar</t>
  </si>
  <si>
    <t>Domestic Sales</t>
  </si>
  <si>
    <t>601</t>
  </si>
  <si>
    <t>Yurt Dışı Satışlar</t>
  </si>
  <si>
    <t>Export Sales</t>
  </si>
  <si>
    <t>610</t>
  </si>
  <si>
    <t>Satış İadeleri (-)</t>
  </si>
  <si>
    <t>Sales Returns (-)</t>
  </si>
  <si>
    <t>611</t>
  </si>
  <si>
    <t>Satış İskontoları (-)</t>
  </si>
  <si>
    <t>Sales Discounts (-)</t>
  </si>
  <si>
    <t>62</t>
  </si>
  <si>
    <t>Satışların Maliyeti (-)</t>
  </si>
  <si>
    <t>Cost of Goods Sold (-)</t>
  </si>
  <si>
    <t>620</t>
  </si>
  <si>
    <t>Satılan Mamullerin Maliyeti</t>
  </si>
  <si>
    <t>COGS – Finished Goods</t>
  </si>
  <si>
    <t>621</t>
  </si>
  <si>
    <t>Satılan Ticari Malların Maliyeti</t>
  </si>
  <si>
    <t>COGS – Merchandise</t>
  </si>
  <si>
    <t>63</t>
  </si>
  <si>
    <t>Faaliyet Giderleri</t>
  </si>
  <si>
    <t>Operating Expenses</t>
  </si>
  <si>
    <t>630</t>
  </si>
  <si>
    <t>Araştırma ve Geliştirme Giderleri</t>
  </si>
  <si>
    <t>R&amp;D Expenses</t>
  </si>
  <si>
    <t>631</t>
  </si>
  <si>
    <t>Pazarlama, Satış ve Dağıtım Giderleri</t>
  </si>
  <si>
    <t>Selling &amp; Distribution Exp.</t>
  </si>
  <si>
    <t>632</t>
  </si>
  <si>
    <t>Genel Yönetim Giderleri</t>
  </si>
  <si>
    <t>General &amp; Admin Expenses</t>
  </si>
  <si>
    <t>64</t>
  </si>
  <si>
    <t>Diğer Faaliyetlerden Olağan Gelir ve Kârlar</t>
  </si>
  <si>
    <t>Other Operating Income</t>
  </si>
  <si>
    <t>65</t>
  </si>
  <si>
    <t>Diğer Faaliyetlerden Olağan Gider ve Zararlar</t>
  </si>
  <si>
    <t>Other Operating Expenses</t>
  </si>
  <si>
    <t>67</t>
  </si>
  <si>
    <t>Finansman Giderleri</t>
  </si>
  <si>
    <t>Finance Costs</t>
  </si>
  <si>
    <t>660</t>
  </si>
  <si>
    <t>Kısa Vadeli Borçlanma Giderleri</t>
  </si>
  <si>
    <t>Interest on ST Borrowings</t>
  </si>
  <si>
    <t>661</t>
  </si>
  <si>
    <t>Uzun Vadeli Borçlanma Giderleri</t>
  </si>
  <si>
    <t>Interest on LT Borrowings</t>
  </si>
  <si>
    <t>69</t>
  </si>
  <si>
    <t>Dönem Net Kâr / Zararı</t>
  </si>
  <si>
    <t>SINIF 7 – MALİYET HESAPLARI  |  COST ACCOUNTS</t>
  </si>
  <si>
    <t>71</t>
  </si>
  <si>
    <t>Direkt İlk Madde ve Malzeme Giderleri</t>
  </si>
  <si>
    <t>Direct Raw Material Costs</t>
  </si>
  <si>
    <t>Direct RM Expenses</t>
  </si>
  <si>
    <t>711</t>
  </si>
  <si>
    <t>Direkt İlk Madde ve Malzeme Yansıtma (-)</t>
  </si>
  <si>
    <t>Direct RM Transfer (-)</t>
  </si>
  <si>
    <t>72</t>
  </si>
  <si>
    <t>Direkt İşçilik Giderleri</t>
  </si>
  <si>
    <t>Direct Labor Costs</t>
  </si>
  <si>
    <t>720</t>
  </si>
  <si>
    <t>Direct Labor Expenses</t>
  </si>
  <si>
    <t>73</t>
  </si>
  <si>
    <t>Genel Üretim Giderleri</t>
  </si>
  <si>
    <t>Manufacturing Overhead</t>
  </si>
  <si>
    <t>730</t>
  </si>
  <si>
    <t>Manufacturing Overhead Exp.</t>
  </si>
  <si>
    <t>74</t>
  </si>
  <si>
    <t>Hizmet Üretim Maliyeti</t>
  </si>
  <si>
    <t>Cost of Services Produced</t>
  </si>
  <si>
    <t>75</t>
  </si>
  <si>
    <t>R&amp;D Costs</t>
  </si>
  <si>
    <t>76</t>
  </si>
  <si>
    <t>Selling &amp; Distribution Costs</t>
  </si>
  <si>
    <t>77</t>
  </si>
  <si>
    <t>G&amp;A Costs</t>
  </si>
  <si>
    <t>78</t>
  </si>
  <si>
    <t>Finance Costs (7)</t>
  </si>
  <si>
    <t>79</t>
  </si>
  <si>
    <t>Gider Çeşitleri (Yansıtma Karşıtı)</t>
  </si>
  <si>
    <t>Expense Offset Accounts</t>
  </si>
  <si>
    <t>SINIF 8 – SERBEST / MALIYET MUHASEBESİ  |  Cost Accounting (Free Use)</t>
  </si>
  <si>
    <t>SINIF 9 – NAZIM HESAPLAR  |  Memorandum / Off-Balance Sheet</t>
  </si>
  <si>
    <t>9</t>
  </si>
  <si>
    <t>90</t>
  </si>
  <si>
    <t>Alınan Teminat ve Kefaletler</t>
  </si>
  <si>
    <t>Guarantees &amp; Collateral Received</t>
  </si>
  <si>
    <t>Nazım</t>
  </si>
  <si>
    <t>91</t>
  </si>
  <si>
    <t>Verilen Teminat ve Kefaletler</t>
  </si>
  <si>
    <t>Guarantees &amp; Collateral Given</t>
  </si>
  <si>
    <t>BİLANÇO – STANDART FORMAT  |  Balance Sheet Standard Template</t>
  </si>
  <si>
    <t>Kod</t>
  </si>
  <si>
    <t>Kalem / Item</t>
  </si>
  <si>
    <t>Hesap Referansı
Account Ref.</t>
  </si>
  <si>
    <t>Dönem 1
Current Period</t>
  </si>
  <si>
    <t>Dönem 2
Prior Period</t>
  </si>
  <si>
    <t>Dönem 3</t>
  </si>
  <si>
    <t>Fark
Change (%)</t>
  </si>
  <si>
    <t>Kaynak
Source Ref.</t>
  </si>
  <si>
    <t>AKTİF / ASSETS</t>
  </si>
  <si>
    <t xml:space="preserve">  I  DÖNEN VARLIKLAR</t>
  </si>
  <si>
    <t>I.1</t>
  </si>
  <si>
    <t xml:space="preserve">  Hazır Değerler</t>
  </si>
  <si>
    <t>100-108</t>
  </si>
  <si>
    <t>I.2</t>
  </si>
  <si>
    <t xml:space="preserve">  Menkul Kıymetler</t>
  </si>
  <si>
    <t>110-119</t>
  </si>
  <si>
    <t>I.3</t>
  </si>
  <si>
    <t xml:space="preserve">  Ticari Alacaklar</t>
  </si>
  <si>
    <t>120-129</t>
  </si>
  <si>
    <t>I.4</t>
  </si>
  <si>
    <t xml:space="preserve">  Diğer Alacaklar</t>
  </si>
  <si>
    <t>130-139</t>
  </si>
  <si>
    <t>I.5</t>
  </si>
  <si>
    <t xml:space="preserve">  Stoklar</t>
  </si>
  <si>
    <t>150-158</t>
  </si>
  <si>
    <t>I.6</t>
  </si>
  <si>
    <t xml:space="preserve">  Yıllara Yayg. İnş. ve Onar. Alacakları</t>
  </si>
  <si>
    <t>160-169</t>
  </si>
  <si>
    <t>I.7</t>
  </si>
  <si>
    <t xml:space="preserve">  Gelecek Aylara Ait Gid. ve Gel. Tahakkukları</t>
  </si>
  <si>
    <t>180-189</t>
  </si>
  <si>
    <t>I.8</t>
  </si>
  <si>
    <t xml:space="preserve">  Diğer Dönen Varlıklar</t>
  </si>
  <si>
    <t>190-199</t>
  </si>
  <si>
    <t>I.T</t>
  </si>
  <si>
    <t>DÖNEN VARLIKLAR TOPLAMI</t>
  </si>
  <si>
    <t xml:space="preserve">  II  DURAN VARLIKLAR</t>
  </si>
  <si>
    <t>II.1</t>
  </si>
  <si>
    <t>220-229</t>
  </si>
  <si>
    <t>II.2</t>
  </si>
  <si>
    <t>230-239</t>
  </si>
  <si>
    <t>II.3</t>
  </si>
  <si>
    <t xml:space="preserve">  Mali Duran Varlıklar</t>
  </si>
  <si>
    <t>240-249</t>
  </si>
  <si>
    <t>II.4</t>
  </si>
  <si>
    <t xml:space="preserve">  Maddi Duran Varlıklar (Net)</t>
  </si>
  <si>
    <t>250-259</t>
  </si>
  <si>
    <t>II.5</t>
  </si>
  <si>
    <t xml:space="preserve">  Maddi Olmayan Duran Varlıklar (Net)</t>
  </si>
  <si>
    <t>260-269</t>
  </si>
  <si>
    <t>II.6</t>
  </si>
  <si>
    <t xml:space="preserve">  Özel Tükenmeye Tabi Varlıklar</t>
  </si>
  <si>
    <t>270-279</t>
  </si>
  <si>
    <t>II.7</t>
  </si>
  <si>
    <t xml:space="preserve">  Gelecek Yıllara Ait Giderler</t>
  </si>
  <si>
    <t>280-289</t>
  </si>
  <si>
    <t>II.8</t>
  </si>
  <si>
    <t xml:space="preserve">  Diğer Duran Varlıklar</t>
  </si>
  <si>
    <t>290-299</t>
  </si>
  <si>
    <t>II.T</t>
  </si>
  <si>
    <t>DURAN VARLIKLAR TOPLAMI</t>
  </si>
  <si>
    <t>AKT</t>
  </si>
  <si>
    <t>AKTİF TOPLAMI / TOTAL ASSETS</t>
  </si>
  <si>
    <t>PASİF / LIABILITIES &amp; EQUITY</t>
  </si>
  <si>
    <t xml:space="preserve">  III  KISA VADELİ YABANCI KAYNAKLAR</t>
  </si>
  <si>
    <t>III.1</t>
  </si>
  <si>
    <t xml:space="preserve">  Mali Borçlar</t>
  </si>
  <si>
    <t>300-309</t>
  </si>
  <si>
    <t>III.2</t>
  </si>
  <si>
    <t xml:space="preserve">  Ticari Borçlar</t>
  </si>
  <si>
    <t>320-329</t>
  </si>
  <si>
    <t>III.3</t>
  </si>
  <si>
    <t xml:space="preserve">  Diğer Borçlar</t>
  </si>
  <si>
    <t>330-339</t>
  </si>
  <si>
    <t>III.4</t>
  </si>
  <si>
    <t xml:space="preserve">  Alınan Avanslar</t>
  </si>
  <si>
    <t>340-349</t>
  </si>
  <si>
    <t>III.5</t>
  </si>
  <si>
    <t xml:space="preserve">  Yıllara Yayg. İnş. ve Onar. Hak. Ediş Bed.</t>
  </si>
  <si>
    <t>350-359</t>
  </si>
  <si>
    <t>III.6</t>
  </si>
  <si>
    <t xml:space="preserve">  Ödenecek Vergi ve Yükümlülükler</t>
  </si>
  <si>
    <t>360-369</t>
  </si>
  <si>
    <t>III.7</t>
  </si>
  <si>
    <t xml:space="preserve">  Borç ve Gider Karşılıkları</t>
  </si>
  <si>
    <t>370-379</t>
  </si>
  <si>
    <t>III.8</t>
  </si>
  <si>
    <t xml:space="preserve">  Gelecek Aylara Ait Gelirler</t>
  </si>
  <si>
    <t>380-389</t>
  </si>
  <si>
    <t>III.9</t>
  </si>
  <si>
    <t xml:space="preserve">  Diğer Kısa Vadeli Yabancı Kaynaklar</t>
  </si>
  <si>
    <t>390-399</t>
  </si>
  <si>
    <t>III.T</t>
  </si>
  <si>
    <t>KISA VADELİ YABANCI KAYNAKLAR TOPLAMI</t>
  </si>
  <si>
    <t xml:space="preserve">  IV  UZUN VADELİ YABANCI KAYNAKLAR</t>
  </si>
  <si>
    <t>IV.1</t>
  </si>
  <si>
    <t>400-409</t>
  </si>
  <si>
    <t>IV.2</t>
  </si>
  <si>
    <t>420-429</t>
  </si>
  <si>
    <t>IV.3</t>
  </si>
  <si>
    <t>430-439</t>
  </si>
  <si>
    <t>IV.4</t>
  </si>
  <si>
    <t>440-449</t>
  </si>
  <si>
    <t>IV.5</t>
  </si>
  <si>
    <t>470-479</t>
  </si>
  <si>
    <t>IV.6</t>
  </si>
  <si>
    <t xml:space="preserve">  Gelecek Yıllara Ait Gelirler</t>
  </si>
  <si>
    <t>480-489</t>
  </si>
  <si>
    <t>IV.7</t>
  </si>
  <si>
    <t xml:space="preserve">  Diğer Uzun Vadeli Yabancı Kaynaklar</t>
  </si>
  <si>
    <t>490-499</t>
  </si>
  <si>
    <t>IV.T</t>
  </si>
  <si>
    <t>UZUN VADELİ YABANCI KAYNAKLAR TOPLAMI</t>
  </si>
  <si>
    <t xml:space="preserve">  V  ÖZ KAYNAKLAR</t>
  </si>
  <si>
    <t>V.1</t>
  </si>
  <si>
    <t xml:space="preserve">  Ödenmiş Sermaye</t>
  </si>
  <si>
    <t>500-509</t>
  </si>
  <si>
    <t>V.2</t>
  </si>
  <si>
    <t xml:space="preserve">  Sermaye Yedekleri</t>
  </si>
  <si>
    <t>520-529</t>
  </si>
  <si>
    <t>V.3</t>
  </si>
  <si>
    <t xml:space="preserve">  Kâr Yedekleri</t>
  </si>
  <si>
    <t>540-549</t>
  </si>
  <si>
    <t>V.4</t>
  </si>
  <si>
    <t xml:space="preserve">  Geçmiş Yıllar Kârları / Zararları</t>
  </si>
  <si>
    <t>570-589</t>
  </si>
  <si>
    <t>V.5</t>
  </si>
  <si>
    <t xml:space="preserve">  Dönem Net Kârı (Zararı)</t>
  </si>
  <si>
    <t>590</t>
  </si>
  <si>
    <t>V.T</t>
  </si>
  <si>
    <t>ÖZ KAYNAKLAR TOPLAMI</t>
  </si>
  <si>
    <t>PAS</t>
  </si>
  <si>
    <t>PASİF TOPLAMI / TOTAL L&amp;E</t>
  </si>
  <si>
    <t>CHK</t>
  </si>
  <si>
    <t>KONTROL: AKTİF = PASİF ?</t>
  </si>
  <si>
    <t>GELİR TABLOSU – STANDART FORMAT  |  Income Statement Standard Template</t>
  </si>
  <si>
    <t>Hesap Ref.</t>
  </si>
  <si>
    <t>Dönem 1</t>
  </si>
  <si>
    <t>Dönem 2</t>
  </si>
  <si>
    <t>Fark %</t>
  </si>
  <si>
    <t xml:space="preserve">  A  NET SATIŞLAR</t>
  </si>
  <si>
    <t>A.1</t>
  </si>
  <si>
    <t xml:space="preserve">    Brüt Satışlar</t>
  </si>
  <si>
    <t>600-601</t>
  </si>
  <si>
    <t>A.2</t>
  </si>
  <si>
    <t xml:space="preserve">    (-) Satış İadeleri</t>
  </si>
  <si>
    <t>A.3</t>
  </si>
  <si>
    <t xml:space="preserve">    (-) Satış İskontoları</t>
  </si>
  <si>
    <t>A.T</t>
  </si>
  <si>
    <t>NET SATIŞLAR TOPLAMI</t>
  </si>
  <si>
    <t xml:space="preserve">  B  (-) SATIŞLARIN MALİYETİ</t>
  </si>
  <si>
    <t>B.1</t>
  </si>
  <si>
    <t xml:space="preserve">    Satılan Mamullerin Maliyeti</t>
  </si>
  <si>
    <t>B.2</t>
  </si>
  <si>
    <t xml:space="preserve">    Satılan Ticari Malların Maliyeti</t>
  </si>
  <si>
    <t>B.3</t>
  </si>
  <si>
    <t xml:space="preserve">    Satılan Hizmet Maliyeti</t>
  </si>
  <si>
    <t>622</t>
  </si>
  <si>
    <t>B.T</t>
  </si>
  <si>
    <t>SATIŞLARIN MALİYETİ TOPLAMI</t>
  </si>
  <si>
    <t>C</t>
  </si>
  <si>
    <t>BRÜT SATIŞ KÂRI / ZARARI</t>
  </si>
  <si>
    <t xml:space="preserve">  D  (-) FAALİYET GİDERLERİ</t>
  </si>
  <si>
    <t>D.1</t>
  </si>
  <si>
    <t xml:space="preserve">    Araştırma ve Geliştirme Giderleri</t>
  </si>
  <si>
    <t>D.2</t>
  </si>
  <si>
    <t xml:space="preserve">    Pazarlama, Satış ve Dağıtım Giderleri</t>
  </si>
  <si>
    <t>D.3</t>
  </si>
  <si>
    <t xml:space="preserve">    Genel Yönetim Giderleri</t>
  </si>
  <si>
    <t>D.T</t>
  </si>
  <si>
    <t>FAALİYET GİDERLERİ TOPLAMI</t>
  </si>
  <si>
    <t>E</t>
  </si>
  <si>
    <t>FAALİYET KÂRI / ZARARI (EBIT)</t>
  </si>
  <si>
    <t xml:space="preserve">  F  EBITDA HESAPLAMA</t>
  </si>
  <si>
    <t>F.1</t>
  </si>
  <si>
    <t xml:space="preserve">    (+) Amortisman Giderleri</t>
  </si>
  <si>
    <t>257-268</t>
  </si>
  <si>
    <t>F.T</t>
  </si>
  <si>
    <t>EBITDA</t>
  </si>
  <si>
    <t xml:space="preserve">  G  DİĞER FAALİYET GELİR / GİDERLERİ</t>
  </si>
  <si>
    <t>G.1</t>
  </si>
  <si>
    <t xml:space="preserve">    Diğer Olağan Gelir ve Kârlar</t>
  </si>
  <si>
    <t>640-649</t>
  </si>
  <si>
    <t>G.2</t>
  </si>
  <si>
    <t xml:space="preserve">    (-) Diğer Olağan Gider ve Zararlar</t>
  </si>
  <si>
    <t>650-659</t>
  </si>
  <si>
    <t xml:space="preserve">  H  FİNANSMAN GELİR / GİDERLERİ</t>
  </si>
  <si>
    <t>H.1</t>
  </si>
  <si>
    <t xml:space="preserve">    Finansman Gelirleri</t>
  </si>
  <si>
    <t>642</t>
  </si>
  <si>
    <t>H.2</t>
  </si>
  <si>
    <t xml:space="preserve">    (-) Finansman Giderleri</t>
  </si>
  <si>
    <t>660-661</t>
  </si>
  <si>
    <t>I</t>
  </si>
  <si>
    <t>DÖNEM KÂRI / ZARARI (VERGİ ÖNCESİ)</t>
  </si>
  <si>
    <t xml:space="preserve">    (-) Dönem Vergisi</t>
  </si>
  <si>
    <t>691</t>
  </si>
  <si>
    <t>J</t>
  </si>
  <si>
    <t>DÖNEM NET KÂRI / ZARARI</t>
  </si>
  <si>
    <t>EBITDA KÖPRÜSÜ – STANDART FORMAT  |  EBITDA Bridge Standard Template</t>
  </si>
  <si>
    <t>Sıra</t>
  </si>
  <si>
    <t>Kalem</t>
  </si>
  <si>
    <t>Net Satışlar (A)</t>
  </si>
  <si>
    <t>600-611</t>
  </si>
  <si>
    <t>(-) Satışların Maliyeti</t>
  </si>
  <si>
    <t>620-622</t>
  </si>
  <si>
    <t>=</t>
  </si>
  <si>
    <t>BRÜT KÂR / Gross Profit</t>
  </si>
  <si>
    <t>(-) Faaliyet Giderleri (D)</t>
  </si>
  <si>
    <t>630-632</t>
  </si>
  <si>
    <t>FAALİYET KÂRI (EBIT)</t>
  </si>
  <si>
    <t>(+) Amortisman (Depreciation)</t>
  </si>
  <si>
    <t>(+) İtfa Payları (Amortization)</t>
  </si>
  <si>
    <t>EBITDA MARJI HESAPLAMA</t>
  </si>
  <si>
    <t>M1</t>
  </si>
  <si>
    <t>EBITDA Marjı % (EBITDA/Net Satış)</t>
  </si>
  <si>
    <t>M2</t>
  </si>
  <si>
    <t>Brüt Kâr Marjı %</t>
  </si>
  <si>
    <t>M3</t>
  </si>
  <si>
    <t>Faaliyet Kâr Marjı %</t>
  </si>
  <si>
    <t>M4</t>
  </si>
  <si>
    <t>Net Kâr Marjı %</t>
  </si>
  <si>
    <t>ÜRETİM REÇETESİ (BOM)  |  Bill of Materials Standard Template</t>
  </si>
  <si>
    <t>Ürün Kodu
Product Code</t>
  </si>
  <si>
    <t>Ürün Adı
Product Name</t>
  </si>
  <si>
    <t>BOM Seviyesi
BOM Level</t>
  </si>
  <si>
    <t>Malzeme Kodu
Material Code</t>
  </si>
  <si>
    <t>Malzeme Adı
Material Name</t>
  </si>
  <si>
    <t>Birim
Unit</t>
  </si>
  <si>
    <t>Miktar
Qty / Batch</t>
  </si>
  <si>
    <t>Fire Oranı %
Scrap %</t>
  </si>
  <si>
    <t>Net Miktar
Net Qty</t>
  </si>
  <si>
    <t>Birim Maliyet
Unit Cost</t>
  </si>
  <si>
    <t>Toplam Maliyet
Total Cost</t>
  </si>
  <si>
    <t>Hesap Kodu
Account Code</t>
  </si>
  <si>
    <t>PRD-001</t>
  </si>
  <si>
    <t>Mamul A</t>
  </si>
  <si>
    <t>1 - Ana</t>
  </si>
  <si>
    <t>HM-001</t>
  </si>
  <si>
    <t>Çelik Levha</t>
  </si>
  <si>
    <t>kg</t>
  </si>
  <si>
    <t>HM-002</t>
  </si>
  <si>
    <t>Boyar Madde</t>
  </si>
  <si>
    <t>lt</t>
  </si>
  <si>
    <t>2 - Alt</t>
  </si>
  <si>
    <t>YM-001</t>
  </si>
  <si>
    <t>Yarı Mamul X</t>
  </si>
  <si>
    <t>adet</t>
  </si>
  <si>
    <t>▶ REÇETEYİ TOPLAMI</t>
  </si>
  <si>
    <t>MALZEME EKSTRESİ  |  Material Movement Report Standard Template</t>
  </si>
  <si>
    <t>Tarih
Date</t>
  </si>
  <si>
    <t>Açılış Stok
Opening Stock</t>
  </si>
  <si>
    <t>Giriş Miktar
Receipts</t>
  </si>
  <si>
    <t>Çıkış Miktar
Issues</t>
  </si>
  <si>
    <t>Kapanış Stok
Closing Stock</t>
  </si>
  <si>
    <t>Açılış Değer
Opening Value</t>
  </si>
  <si>
    <t>Giriş Değer
Receipts Value</t>
  </si>
  <si>
    <t>Çıkış Değer
Issues Value</t>
  </si>
  <si>
    <t>Kapanış Değer
Closing Value</t>
  </si>
  <si>
    <t>GENEL TOPLAM</t>
  </si>
  <si>
    <t>ÜRETİM MALİYET TABLOSU  |  Production Cost Statement</t>
  </si>
  <si>
    <t>Pay %</t>
  </si>
  <si>
    <t>Birim Maliyet</t>
  </si>
  <si>
    <t>DİREKT İLK MADDE VE MALZEME</t>
  </si>
  <si>
    <t xml:space="preserve">  Ham Madde Tüketimi</t>
  </si>
  <si>
    <t xml:space="preserve">  Yardımcı Madde Tüketimi</t>
  </si>
  <si>
    <t>710.02</t>
  </si>
  <si>
    <t>TOPLAM DİREKT İLK M.M.</t>
  </si>
  <si>
    <t>II</t>
  </si>
  <si>
    <t>DİREKT İŞÇİLİK GİDERLERİ</t>
  </si>
  <si>
    <t xml:space="preserve">  Üretim İşçiliği</t>
  </si>
  <si>
    <t>720.01</t>
  </si>
  <si>
    <t xml:space="preserve">  Vardiya Primleri</t>
  </si>
  <si>
    <t>720.02</t>
  </si>
  <si>
    <t>TOPLAM DİREKT İŞÇİLİK</t>
  </si>
  <si>
    <t>III</t>
  </si>
  <si>
    <t>GENEL ÜRETİM GİDERLERİ (GÜG)</t>
  </si>
  <si>
    <t xml:space="preserve">  Endirekt Malzeme</t>
  </si>
  <si>
    <t>730.01</t>
  </si>
  <si>
    <t xml:space="preserve">  Endirekt İşçilik</t>
  </si>
  <si>
    <t>730.02</t>
  </si>
  <si>
    <t xml:space="preserve">  Amortismanlar</t>
  </si>
  <si>
    <t>730.03</t>
  </si>
  <si>
    <t xml:space="preserve">  Bakım Onarım</t>
  </si>
  <si>
    <t>730.04</t>
  </si>
  <si>
    <t xml:space="preserve">  Enerji</t>
  </si>
  <si>
    <t>730.05</t>
  </si>
  <si>
    <t xml:space="preserve">  Sigorta</t>
  </si>
  <si>
    <t>730.06</t>
  </si>
  <si>
    <t xml:space="preserve">  Diğer GÜG</t>
  </si>
  <si>
    <t>730.07</t>
  </si>
  <si>
    <t>TOPLAM GÜG</t>
  </si>
  <si>
    <t>IV</t>
  </si>
  <si>
    <t>TOPLAM ÜRETİM MALİYETİ</t>
  </si>
  <si>
    <t>V</t>
  </si>
  <si>
    <t xml:space="preserve">  (+/-) Yarı Mamul Stok Değ.</t>
  </si>
  <si>
    <t>VI</t>
  </si>
  <si>
    <t>TOPLAM MAMUL MALİYETİ</t>
  </si>
  <si>
    <t>VII</t>
  </si>
  <si>
    <t xml:space="preserve">  (+/-) Mamul Stok Değişimi</t>
  </si>
  <si>
    <t>VIII</t>
  </si>
  <si>
    <t>SATILAN MAMUL MALİYETİ</t>
  </si>
  <si>
    <t>SABİT KIYMET LİSTESİ  |  Fixed Asset Register Standard Template</t>
  </si>
  <si>
    <t>Sabit Kıymet Kodu
Asset Code</t>
  </si>
  <si>
    <t>Sabit Kıymet Adı
Asset Name</t>
  </si>
  <si>
    <t>Alış Tarihi
Acquisition Date</t>
  </si>
  <si>
    <t>Alış Bedeli
Historical Cost</t>
  </si>
  <si>
    <t>Amortisman Yöntemi
Method</t>
  </si>
  <si>
    <t>Ömür (Yıl)
Useful Life</t>
  </si>
  <si>
    <t>Oran %
Rate %</t>
  </si>
  <si>
    <t>Birikmiş Amortis.
Accum. Deprec.</t>
  </si>
  <si>
    <t>Net Defter Değeri
Net Book Value</t>
  </si>
  <si>
    <t>Dönem Amortismanı
Period Deprec.</t>
  </si>
  <si>
    <t>Satış Tarihi
Disposal Date</t>
  </si>
  <si>
    <t>Satış Bedeli
Disposal Value</t>
  </si>
  <si>
    <t>Kâr/Zarar
Gain/Loss</t>
  </si>
  <si>
    <t>Hesap Sınıfı
Asset Category</t>
  </si>
  <si>
    <t>SK-001</t>
  </si>
  <si>
    <t>CNC Torna Makinesi</t>
  </si>
  <si>
    <t>01.03.2020</t>
  </si>
  <si>
    <t>Normal</t>
  </si>
  <si>
    <t>Üretim</t>
  </si>
  <si>
    <t>SK-002</t>
  </si>
  <si>
    <t>Binek Araç – 34 ABC 123</t>
  </si>
  <si>
    <t>15.06.2021</t>
  </si>
  <si>
    <t>Yönetim</t>
  </si>
  <si>
    <t>SK-003</t>
  </si>
  <si>
    <t>Ofis Binası – Merkez</t>
  </si>
  <si>
    <t>10.01.2018</t>
  </si>
  <si>
    <t>Genel</t>
  </si>
  <si>
    <t>SK-004</t>
  </si>
  <si>
    <t>ERP Yazılım Lisansı</t>
  </si>
  <si>
    <t>01.07.2022</t>
  </si>
  <si>
    <t>BT</t>
  </si>
  <si>
    <t>TOPLAM / TOTAL</t>
  </si>
  <si>
    <t>FİNANSAL TABLOLAR ÖZET VE ORAN ANALİZİ  |  Financial Summary &amp; Ratio Analysis</t>
  </si>
  <si>
    <t>Gösterge / Indicator</t>
  </si>
  <si>
    <t>Formül Ref.</t>
  </si>
  <si>
    <t>D1</t>
  </si>
  <si>
    <t>D2</t>
  </si>
  <si>
    <t>D3</t>
  </si>
  <si>
    <t>D4</t>
  </si>
  <si>
    <t>D5</t>
  </si>
  <si>
    <t>Hedef</t>
  </si>
  <si>
    <t>LİKİDİTE ORANLARI  |  Liquidity Ratios</t>
  </si>
  <si>
    <t>L1</t>
  </si>
  <si>
    <t xml:space="preserve">  Cari Oran</t>
  </si>
  <si>
    <t>Dönen V. / KV Borç</t>
  </si>
  <si>
    <t>L2</t>
  </si>
  <si>
    <t xml:space="preserve">  Asit-Test Oranı</t>
  </si>
  <si>
    <t>(Dönen V.-Stok)/KV</t>
  </si>
  <si>
    <t>L3</t>
  </si>
  <si>
    <t xml:space="preserve">  Nakit Oranı</t>
  </si>
  <si>
    <t>Nakit / KV Borç</t>
  </si>
  <si>
    <t>KALDIRAÇ ORANLARI  |  Leverage Ratios</t>
  </si>
  <si>
    <t>K1</t>
  </si>
  <si>
    <t xml:space="preserve">  Borç / Öz Kaynak Oranı</t>
  </si>
  <si>
    <t>Toplam Borç/ÖK</t>
  </si>
  <si>
    <t>K2</t>
  </si>
  <si>
    <t xml:space="preserve">  Finansal Kaldıraç</t>
  </si>
  <si>
    <t>Toplam Borç/Aktif</t>
  </si>
  <si>
    <t>K3</t>
  </si>
  <si>
    <t xml:space="preserve">  Net Borç / EBITDA</t>
  </si>
  <si>
    <t>Net Borç/EBITDA</t>
  </si>
  <si>
    <t>KÂRLİLIK ORANLARI  |  Profitability Ratios</t>
  </si>
  <si>
    <t>P1</t>
  </si>
  <si>
    <t xml:space="preserve">  Brüt Kâr Marjı</t>
  </si>
  <si>
    <t>Brüt Kâr/Net Satış</t>
  </si>
  <si>
    <t>P2</t>
  </si>
  <si>
    <t xml:space="preserve">  EBITDA Marjı</t>
  </si>
  <si>
    <t>EBITDA/Net Satış</t>
  </si>
  <si>
    <t>P3</t>
  </si>
  <si>
    <t xml:space="preserve">  EBIT Marjı</t>
  </si>
  <si>
    <t>EBIT/Net Satış</t>
  </si>
  <si>
    <t>P4</t>
  </si>
  <si>
    <t xml:space="preserve">  Net Kâr Marjı</t>
  </si>
  <si>
    <t>Net Kâr/Net Satış</t>
  </si>
  <si>
    <t>P5</t>
  </si>
  <si>
    <t xml:space="preserve">  Öz Kaynak Kârlılığı (ROE)</t>
  </si>
  <si>
    <t>Net Kâr/ÖK</t>
  </si>
  <si>
    <t>P6</t>
  </si>
  <si>
    <t xml:space="preserve">  Aktif Kârlılığı (ROA)</t>
  </si>
  <si>
    <t>Net Kâr/Toplam Aktif</t>
  </si>
  <si>
    <t>AKTİVİTE ORANLARI  |  Activity Ratios</t>
  </si>
  <si>
    <t>A1</t>
  </si>
  <si>
    <t xml:space="preserve">  Stok Devir Hızı (kez)</t>
  </si>
  <si>
    <t>COGS/Ort.Stok</t>
  </si>
  <si>
    <t>A2</t>
  </si>
  <si>
    <t xml:space="preserve">  Stok Devir Süresi (gün)</t>
  </si>
  <si>
    <t>365/Stok Devir</t>
  </si>
  <si>
    <t>A3</t>
  </si>
  <si>
    <t xml:space="preserve">  Alacak Devir Hızı (kez)</t>
  </si>
  <si>
    <t>Satış/Ort.Alacak</t>
  </si>
  <si>
    <t>A4</t>
  </si>
  <si>
    <t xml:space="preserve">  Alacak Tahsil Süresi (gün)</t>
  </si>
  <si>
    <t>365/Alacak Devir</t>
  </si>
  <si>
    <t>A5</t>
  </si>
  <si>
    <t xml:space="preserve">  Borç Ödeme Süresi (gün)</t>
  </si>
  <si>
    <t>365/Borç Devir</t>
  </si>
  <si>
    <t>BÜYÜME GÖSTERGELERİ  |  Growth KPIs</t>
  </si>
  <si>
    <t>G1</t>
  </si>
  <si>
    <t xml:space="preserve">  Net Satış Büyümesi %</t>
  </si>
  <si>
    <t>G2</t>
  </si>
  <si>
    <t xml:space="preserve">  EBITDA Büyümesi %</t>
  </si>
  <si>
    <t>G3</t>
  </si>
  <si>
    <t xml:space="preserve">  Net Kâr Büyümesi %</t>
  </si>
  <si>
    <t>VERİ DOĞRULAMA MASTER LİSTELERİ  |  Data Validation Master Lists</t>
  </si>
  <si>
    <t>Para Birimi
Currency</t>
  </si>
  <si>
    <t>Belge Türü
Document Type</t>
  </si>
  <si>
    <t>Hesap Tipi
Account Type</t>
  </si>
  <si>
    <t>Amortisman Yöntemi
Depreciation Method</t>
  </si>
  <si>
    <t>SAP</t>
  </si>
  <si>
    <t>Normal (Doğrusal)</t>
  </si>
  <si>
    <t>Logo Tiger</t>
  </si>
  <si>
    <t>USD</t>
  </si>
  <si>
    <t>Azalan Bakiyeler</t>
  </si>
  <si>
    <t>Satış</t>
  </si>
  <si>
    <t>Logo Go</t>
  </si>
  <si>
    <t>EUR</t>
  </si>
  <si>
    <t>Birim Üretim</t>
  </si>
  <si>
    <t>Pazarlama</t>
  </si>
  <si>
    <t>Netsis</t>
  </si>
  <si>
    <t>GBP</t>
  </si>
  <si>
    <t>Serbest Meslek Makbuzu</t>
  </si>
  <si>
    <t>Gider</t>
  </si>
  <si>
    <t>Genel Yönetim</t>
  </si>
  <si>
    <t>Mikro</t>
  </si>
  <si>
    <t>CHF</t>
  </si>
  <si>
    <t>ArGe</t>
  </si>
  <si>
    <t>Luca</t>
  </si>
  <si>
    <t>JPY</t>
  </si>
  <si>
    <t>Çek</t>
  </si>
  <si>
    <t>Paraşüt</t>
  </si>
  <si>
    <t>AED</t>
  </si>
  <si>
    <t>Senet</t>
  </si>
  <si>
    <t>Öz Kaynak</t>
  </si>
  <si>
    <t>İnsan Kaynakları</t>
  </si>
  <si>
    <t>Zirve</t>
  </si>
  <si>
    <t>Diğer</t>
  </si>
  <si>
    <t>İrsaliye</t>
  </si>
  <si>
    <t>Lojistik</t>
  </si>
  <si>
    <t>Uyumsoft</t>
  </si>
  <si>
    <t>İthalat Beyannamesi</t>
  </si>
  <si>
    <t>Finans</t>
  </si>
  <si>
    <t>Diğer / Other</t>
  </si>
  <si>
    <t>Ücret Bordrosu</t>
  </si>
  <si>
    <t>Muhasebe Fişi</t>
  </si>
  <si>
    <t>Açılış Fişi</t>
  </si>
  <si>
    <t>Kapanış Fişi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</si>
</sst>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;&quot;-&quot;"/>
    <numFmt numFmtId="165" formatCode="#,##0;\(#,##0\);&quot;-&quot;"/>
    <numFmt numFmtId="166" formatCode="0.0%;\(0.0%\)"/>
    <numFmt numFmtId="167" formatCode="0.0%"/>
    <numFmt numFmtId="168" formatCode="#,##0.000"/>
    <numFmt numFmtId="169" formatCode="0.00\x"/>
    <numFmt numFmtId="170" formatCode="#,##0.0000"/>
  </numFmts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FF"/>
      <name val="Arial"/>
    </font>
    <font>
      <sz val="10"/>
      <color rgb="FF0563C1"/>
      <name val="Arial"/>
    </font>
    <font>
      <sz val="9"/>
      <color rgb="FF595959"/>
      <name val="Arial"/>
    </font>
    <font>
      <b/>
      <sz val="13"/>
      <color rgb="FFFFFFFF"/>
      <name val="Arial"/>
    </font>
    <font>
      <b/>
      <sz val="9"/>
      <color rgb="FF1F3864"/>
      <name val="Arial"/>
    </font>
    <font>
      <sz val="9"/>
      <color rgb="FF0000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color rgb="FF008000"/>
      <name val="Arial"/>
    </font>
    <font>
      <b/>
      <sz val="9"/>
      <color rgb="FF000000"/>
      <name val="Arial"/>
    </font>
    <font>
      <b/>
      <sz val="10"/>
      <color rgb="FF1F3864"/>
      <name val="Arial"/>
    </font>
  </fonts>
  <fills count="2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D6E4F7"/>
      </patternFill>
    </fill>
    <fill>
      <patternFill patternType="solid">
        <fgColor rgb="FFD9EAD3"/>
      </patternFill>
    </fill>
    <fill>
      <patternFill patternType="solid">
        <fgColor rgb="FF2E75B6"/>
      </patternFill>
    </fill>
    <fill>
      <patternFill patternType="solid">
        <fgColor rgb="FFDEEBF7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BF8F00"/>
      </patternFill>
    </fill>
    <fill>
      <patternFill patternType="solid">
        <fgColor rgb="FF7030A0"/>
      </patternFill>
    </fill>
    <fill>
      <patternFill patternType="solid">
        <fgColor rgb="FFD9D2E9"/>
      </patternFill>
    </fill>
    <fill>
      <patternFill patternType="solid">
        <fgColor rgb="FF843C0C"/>
      </patternFill>
    </fill>
    <fill>
      <patternFill patternType="solid">
        <fgColor rgb="FFFCE5CD"/>
      </patternFill>
    </fill>
    <fill>
      <patternFill patternType="solid">
        <fgColor rgb="FF595959"/>
      </patternFill>
    </fill>
    <fill>
      <patternFill patternType="solid">
        <fgColor rgb="FF99002B"/>
      </patternFill>
    </fill>
    <fill>
      <patternFill patternType="solid">
        <fgColor rgb="FFEAD1DC"/>
      </patternFill>
    </fill>
  </fills>
  <borders count="7">
    <border>
      <left/>
      <right/>
      <top/>
      <bottom/>
      <diagonal/>
    </border>
    <border>
      <left style="thin">
        <color rgb="FFB0B8C1"/>
      </left>
      <right style="thin">
        <color rgb="FFB0B8C1"/>
      </right>
      <top style="thin">
        <color rgb="FFB0B8C1"/>
      </top>
      <bottom style="thin">
        <color rgb="FFB0B8C1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B0B8C1"/>
      </top>
      <bottom style="thin">
        <color rgb="FFB0B8C1"/>
      </bottom>
      <diagonal/>
    </border>
    <border>
      <left/>
      <right style="thin">
        <color rgb="FFB0B8C1"/>
      </right>
      <top style="thin">
        <color rgb="FFB0B8C1"/>
      </top>
      <bottom style="thin">
        <color rgb="FFB0B8C1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0" fontId="3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7" borderId="1" xfId="0" applyFont="1" applyFill="1" applyBorder="1"/>
    <xf numFmtId="0" fontId="9" fillId="5" borderId="1" xfId="0" applyFont="1" applyFill="1" applyBorder="1"/>
    <xf numFmtId="0" fontId="10" fillId="2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64" fontId="11" fillId="4" borderId="1" xfId="0" applyNumberFormat="1" applyFont="1" applyFill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 indent="1"/>
    </xf>
    <xf numFmtId="164" fontId="11" fillId="5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 indent="2"/>
    </xf>
    <xf numFmtId="164" fontId="9" fillId="8" borderId="1" xfId="0" applyNumberFormat="1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 indent="3"/>
    </xf>
    <xf numFmtId="164" fontId="9" fillId="9" borderId="1" xfId="0" applyNumberFormat="1" applyFont="1" applyFill="1" applyBorder="1" applyAlignment="1">
      <alignment horizontal="right" vertical="center"/>
    </xf>
    <xf numFmtId="0" fontId="11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 indent="1"/>
    </xf>
    <xf numFmtId="0" fontId="11" fillId="11" borderId="1" xfId="0" applyFont="1" applyFill="1" applyBorder="1" applyAlignment="1">
      <alignment horizontal="left" vertical="center" indent="2"/>
    </xf>
    <xf numFmtId="0" fontId="11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/>
    </xf>
    <xf numFmtId="0" fontId="13" fillId="13" borderId="1" xfId="0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/>
    </xf>
    <xf numFmtId="0" fontId="13" fillId="15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1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left" vertical="center"/>
    </xf>
    <xf numFmtId="0" fontId="13" fillId="18" borderId="1" xfId="0" applyFont="1" applyFill="1" applyBorder="1" applyAlignment="1">
      <alignment horizontal="left" vertical="center"/>
    </xf>
    <xf numFmtId="0" fontId="11" fillId="20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left" vertical="center"/>
    </xf>
    <xf numFmtId="0" fontId="13" fillId="20" borderId="1" xfId="0" applyFont="1" applyFill="1" applyBorder="1" applyAlignment="1">
      <alignment horizontal="left" vertical="center"/>
    </xf>
    <xf numFmtId="0" fontId="11" fillId="23" borderId="1" xfId="0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165" fontId="9" fillId="4" borderId="1" xfId="0" applyNumberFormat="1" applyFont="1" applyFill="1" applyBorder="1" applyAlignment="1">
      <alignment horizontal="right" vertical="center"/>
    </xf>
    <xf numFmtId="166" fontId="12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165" fontId="9" fillId="5" borderId="1" xfId="0" applyNumberFormat="1" applyFont="1" applyFill="1" applyBorder="1" applyAlignment="1">
      <alignment horizontal="right" vertical="center"/>
    </xf>
    <xf numFmtId="166" fontId="12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14" fillId="8" borderId="2" xfId="0" applyFont="1" applyFill="1" applyBorder="1" applyAlignment="1">
      <alignment horizontal="left" vertical="center"/>
    </xf>
    <xf numFmtId="165" fontId="14" fillId="8" borderId="2" xfId="0" applyNumberFormat="1" applyFont="1" applyFill="1" applyBorder="1" applyAlignment="1">
      <alignment horizontal="right" vertical="center"/>
    </xf>
    <xf numFmtId="0" fontId="14" fillId="8" borderId="2" xfId="0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165" fontId="8" fillId="8" borderId="2" xfId="0" applyNumberFormat="1" applyFont="1" applyFill="1" applyBorder="1" applyAlignment="1">
      <alignment horizontal="right" vertical="center"/>
    </xf>
    <xf numFmtId="0" fontId="8" fillId="8" borderId="2" xfId="0" applyFont="1" applyFill="1" applyBorder="1" applyAlignment="1">
      <alignment horizontal="right" vertical="center"/>
    </xf>
    <xf numFmtId="0" fontId="8" fillId="9" borderId="2" xfId="0" applyFont="1" applyFill="1" applyBorder="1" applyAlignment="1">
      <alignment horizontal="left" vertical="center"/>
    </xf>
    <xf numFmtId="165" fontId="8" fillId="9" borderId="2" xfId="0" applyNumberFormat="1" applyFont="1" applyFill="1" applyBorder="1" applyAlignment="1">
      <alignment horizontal="right" vertical="center"/>
    </xf>
    <xf numFmtId="0" fontId="8" fillId="9" borderId="2" xfId="0" applyFont="1" applyFill="1" applyBorder="1" applyAlignment="1">
      <alignment horizontal="right" vertical="center"/>
    </xf>
    <xf numFmtId="166" fontId="12" fillId="8" borderId="2" xfId="0" applyNumberFormat="1" applyFont="1" applyFill="1" applyBorder="1" applyAlignment="1">
      <alignment horizontal="right" vertical="center"/>
    </xf>
    <xf numFmtId="166" fontId="12" fillId="9" borderId="2" xfId="0" applyNumberFormat="1" applyFont="1" applyFill="1" applyBorder="1" applyAlignment="1">
      <alignment horizontal="right" vertical="center"/>
    </xf>
    <xf numFmtId="166" fontId="9" fillId="4" borderId="1" xfId="0" applyNumberFormat="1" applyFont="1" applyFill="1" applyBorder="1" applyAlignment="1">
      <alignment horizontal="right" vertical="center"/>
    </xf>
    <xf numFmtId="166" fontId="9" fillId="5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167" fontId="9" fillId="4" borderId="1" xfId="0" applyNumberFormat="1" applyFont="1" applyFill="1" applyBorder="1" applyAlignment="1">
      <alignment horizontal="right" vertical="center"/>
    </xf>
    <xf numFmtId="168" fontId="11" fillId="4" borderId="1" xfId="0" applyNumberFormat="1" applyFont="1" applyFill="1" applyBorder="1" applyAlignment="1">
      <alignment horizontal="right" vertical="center"/>
    </xf>
    <xf numFmtId="4" fontId="9" fillId="4" borderId="1" xfId="0" applyNumberFormat="1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right" vertical="center"/>
    </xf>
    <xf numFmtId="167" fontId="9" fillId="5" borderId="1" xfId="0" applyNumberFormat="1" applyFont="1" applyFill="1" applyBorder="1" applyAlignment="1">
      <alignment horizontal="right" vertical="center"/>
    </xf>
    <xf numFmtId="168" fontId="11" fillId="5" borderId="1" xfId="0" applyNumberFormat="1" applyFont="1" applyFill="1" applyBorder="1" applyAlignment="1">
      <alignment horizontal="right" vertical="center"/>
    </xf>
    <xf numFmtId="4" fontId="9" fillId="5" borderId="1" xfId="0" applyNumberFormat="1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right" vertical="center"/>
    </xf>
    <xf numFmtId="4" fontId="10" fillId="3" borderId="2" xfId="0" applyNumberFormat="1" applyFont="1" applyFill="1" applyBorder="1" applyAlignment="1">
      <alignment horizontal="right" vertical="center"/>
    </xf>
    <xf numFmtId="168" fontId="9" fillId="4" borderId="1" xfId="0" applyNumberFormat="1" applyFont="1" applyFill="1" applyBorder="1" applyAlignment="1">
      <alignment horizontal="right" vertical="center"/>
    </xf>
    <xf numFmtId="168" fontId="12" fillId="4" borderId="1" xfId="0" applyNumberFormat="1" applyFont="1" applyFill="1" applyBorder="1" applyAlignment="1">
      <alignment horizontal="right" vertical="center"/>
    </xf>
    <xf numFmtId="4" fontId="12" fillId="4" borderId="1" xfId="0" applyNumberFormat="1" applyFont="1" applyFill="1" applyBorder="1" applyAlignment="1">
      <alignment horizontal="right" vertical="center"/>
    </xf>
    <xf numFmtId="4" fontId="11" fillId="4" borderId="1" xfId="0" applyNumberFormat="1" applyFont="1" applyFill="1" applyBorder="1" applyAlignment="1">
      <alignment horizontal="right" vertical="center"/>
    </xf>
    <xf numFmtId="168" fontId="9" fillId="5" borderId="1" xfId="0" applyNumberFormat="1" applyFont="1" applyFill="1" applyBorder="1" applyAlignment="1">
      <alignment horizontal="right" vertical="center"/>
    </xf>
    <xf numFmtId="168" fontId="12" fillId="5" borderId="1" xfId="0" applyNumberFormat="1" applyFont="1" applyFill="1" applyBorder="1" applyAlignment="1">
      <alignment horizontal="right" vertical="center"/>
    </xf>
    <xf numFmtId="4" fontId="12" fillId="5" borderId="1" xfId="0" applyNumberFormat="1" applyFont="1" applyFill="1" applyBorder="1" applyAlignment="1">
      <alignment horizontal="right" vertical="center"/>
    </xf>
    <xf numFmtId="4" fontId="11" fillId="5" borderId="1" xfId="0" applyNumberFormat="1" applyFont="1" applyFill="1" applyBorder="1" applyAlignment="1">
      <alignment horizontal="right" vertical="center"/>
    </xf>
    <xf numFmtId="165" fontId="10" fillId="3" borderId="2" xfId="0" applyNumberFormat="1" applyFont="1" applyFill="1" applyBorder="1" applyAlignment="1">
      <alignment horizontal="right" vertical="center"/>
    </xf>
    <xf numFmtId="166" fontId="12" fillId="3" borderId="2" xfId="0" applyNumberFormat="1" applyFont="1" applyFill="1" applyBorder="1" applyAlignment="1">
      <alignment horizontal="right" vertical="center"/>
    </xf>
    <xf numFmtId="10" fontId="12" fillId="5" borderId="1" xfId="0" applyNumberFormat="1" applyFont="1" applyFill="1" applyBorder="1" applyAlignment="1">
      <alignment horizontal="right" vertical="center"/>
    </xf>
    <xf numFmtId="164" fontId="12" fillId="5" borderId="1" xfId="0" applyNumberFormat="1" applyFont="1" applyFill="1" applyBorder="1" applyAlignment="1">
      <alignment horizontal="right" vertical="center"/>
    </xf>
    <xf numFmtId="10" fontId="12" fillId="4" borderId="1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right" vertical="center"/>
    </xf>
    <xf numFmtId="164" fontId="10" fillId="3" borderId="2" xfId="0" applyNumberFormat="1" applyFont="1" applyFill="1" applyBorder="1" applyAlignment="1">
      <alignment horizontal="right" vertical="center"/>
    </xf>
    <xf numFmtId="169" fontId="9" fillId="5" borderId="1" xfId="0" applyNumberFormat="1" applyFont="1" applyFill="1" applyBorder="1" applyAlignment="1">
      <alignment horizontal="right" vertical="center"/>
    </xf>
    <xf numFmtId="169" fontId="9" fillId="4" borderId="1" xfId="0" applyNumberFormat="1" applyFont="1" applyFill="1" applyBorder="1" applyAlignment="1">
      <alignment horizontal="right" vertical="center"/>
    </xf>
    <xf numFmtId="170" fontId="9" fillId="5" borderId="1" xfId="0" applyNumberFormat="1" applyFont="1" applyFill="1" applyBorder="1" applyAlignment="1">
      <alignment horizontal="right" vertical="center"/>
    </xf>
    <xf numFmtId="164" fontId="12" fillId="8" borderId="1" xfId="0" applyNumberFormat="1" applyFont="1" applyFill="1" applyBorder="1" applyAlignment="1">
      <alignment horizontal="right" vertical="center"/>
    </xf>
    <xf numFmtId="170" fontId="9" fillId="8" borderId="1" xfId="0" applyNumberFormat="1" applyFont="1" applyFill="1" applyBorder="1" applyAlignment="1">
      <alignment horizontal="right" vertical="center"/>
    </xf>
    <xf numFmtId="164" fontId="12" fillId="9" borderId="1" xfId="0" applyNumberFormat="1" applyFont="1" applyFill="1" applyBorder="1" applyAlignment="1">
      <alignment horizontal="right" vertical="center"/>
    </xf>
    <xf numFmtId="170" fontId="9" fillId="9" borderId="1" xfId="0" applyNumberFormat="1" applyFont="1" applyFill="1" applyBorder="1" applyAlignment="1">
      <alignment horizontal="right" vertical="center"/>
    </xf>
    <xf numFmtId="170" fontId="9" fillId="4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5" xfId="0" applyBorder="1"/>
    <xf numFmtId="0" fontId="0" fillId="0" borderId="6" xfId="0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22" borderId="2" xfId="0" applyFont="1" applyFill="1" applyBorder="1" applyAlignment="1">
      <alignment horizontal="left" vertical="center"/>
    </xf>
    <xf numFmtId="0" fontId="2" fillId="14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left" vertical="center"/>
    </xf>
    <xf numFmtId="0" fontId="2" fillId="21" borderId="2" xfId="0" applyFont="1" applyFill="1" applyBorder="1" applyAlignment="1">
      <alignment horizontal="left" vertical="center"/>
    </xf>
    <xf numFmtId="0" fontId="2" fillId="16" borderId="2" xfId="0" applyFont="1" applyFill="1" applyBorder="1" applyAlignment="1">
      <alignment horizontal="left" vertical="center"/>
    </xf>
    <xf numFmtId="0" fontId="2" fillId="19" borderId="2" xfId="0" applyFont="1" applyFill="1" applyBorder="1" applyAlignment="1">
      <alignment horizontal="left" vertical="center"/>
    </xf>
    <xf numFmtId="0" fontId="2" fillId="17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8"/>
  <sheetViews>
    <sheetView showGridLines="0" workbookViewId="0">
      <selection activeCell="B20" sqref="B20"/>
    </sheetView>
  </sheetViews>
  <sheetFormatPr defaultRowHeight="14.4" x14ac:dyDescent="0.3"/>
  <cols>
    <col min="2" max="2" width="5" customWidth="1"/>
    <col min="3" max="3" width="28" customWidth="1"/>
    <col min="4" max="4" width="52" customWidth="1"/>
    <col min="5" max="5" width="30" customWidth="1"/>
  </cols>
  <sheetData>
    <row r="1" spans="2:10" ht="10.050000000000001" customHeight="1" x14ac:dyDescent="0.3"/>
    <row r="2" spans="2:10" ht="49.95" customHeight="1" x14ac:dyDescent="0.3">
      <c r="B2" s="120" t="s">
        <v>0</v>
      </c>
      <c r="C2" s="121"/>
      <c r="D2" s="121"/>
      <c r="E2" s="121"/>
      <c r="F2" s="121"/>
      <c r="G2" s="121"/>
      <c r="H2" s="121"/>
      <c r="I2" s="121"/>
      <c r="J2" s="121"/>
    </row>
    <row r="3" spans="2:10" ht="19.95" customHeight="1" x14ac:dyDescent="0.3"/>
    <row r="5" spans="2:10" x14ac:dyDescent="0.3">
      <c r="B5" s="1" t="s">
        <v>1</v>
      </c>
      <c r="C5" s="1" t="s">
        <v>2</v>
      </c>
      <c r="D5" s="1" t="s">
        <v>3</v>
      </c>
      <c r="E5" s="1" t="s">
        <v>4</v>
      </c>
    </row>
    <row r="6" spans="2:10" ht="19.95" customHeight="1" x14ac:dyDescent="0.3">
      <c r="B6" s="2">
        <v>1</v>
      </c>
      <c r="C6" s="3" t="s">
        <v>5</v>
      </c>
      <c r="D6" s="4" t="s">
        <v>6</v>
      </c>
      <c r="E6" s="5"/>
    </row>
    <row r="7" spans="2:10" ht="19.95" customHeight="1" x14ac:dyDescent="0.3">
      <c r="B7" s="6">
        <v>2</v>
      </c>
      <c r="C7" s="7" t="s">
        <v>7</v>
      </c>
      <c r="D7" s="8" t="s">
        <v>8</v>
      </c>
      <c r="E7" s="9"/>
    </row>
    <row r="8" spans="2:10" ht="19.95" customHeight="1" x14ac:dyDescent="0.3">
      <c r="B8" s="2">
        <v>3</v>
      </c>
      <c r="C8" s="3" t="s">
        <v>9</v>
      </c>
      <c r="D8" s="4" t="s">
        <v>10</v>
      </c>
      <c r="E8" s="5"/>
    </row>
    <row r="9" spans="2:10" ht="19.95" customHeight="1" x14ac:dyDescent="0.3">
      <c r="B9" s="6">
        <v>4</v>
      </c>
      <c r="C9" s="7" t="s">
        <v>11</v>
      </c>
      <c r="D9" s="8" t="s">
        <v>12</v>
      </c>
      <c r="E9" s="9"/>
    </row>
    <row r="10" spans="2:10" ht="19.95" customHeight="1" x14ac:dyDescent="0.3">
      <c r="B10" s="2">
        <v>5</v>
      </c>
      <c r="C10" s="3" t="s">
        <v>13</v>
      </c>
      <c r="D10" s="4" t="s">
        <v>14</v>
      </c>
      <c r="E10" s="5"/>
    </row>
    <row r="11" spans="2:10" ht="19.95" customHeight="1" x14ac:dyDescent="0.3">
      <c r="B11" s="6">
        <v>6</v>
      </c>
      <c r="C11" s="7" t="s">
        <v>15</v>
      </c>
      <c r="D11" s="8" t="s">
        <v>16</v>
      </c>
      <c r="E11" s="9"/>
    </row>
    <row r="12" spans="2:10" ht="19.95" customHeight="1" x14ac:dyDescent="0.3">
      <c r="B12" s="2">
        <v>7</v>
      </c>
      <c r="C12" s="3" t="s">
        <v>17</v>
      </c>
      <c r="D12" s="4" t="s">
        <v>18</v>
      </c>
      <c r="E12" s="5"/>
    </row>
    <row r="13" spans="2:10" ht="19.95" customHeight="1" x14ac:dyDescent="0.3">
      <c r="B13" s="6">
        <v>8</v>
      </c>
      <c r="C13" s="7" t="s">
        <v>19</v>
      </c>
      <c r="D13" s="8" t="s">
        <v>20</v>
      </c>
      <c r="E13" s="9"/>
    </row>
    <row r="14" spans="2:10" ht="19.95" customHeight="1" x14ac:dyDescent="0.3">
      <c r="B14" s="2">
        <v>9</v>
      </c>
      <c r="C14" s="3" t="s">
        <v>21</v>
      </c>
      <c r="D14" s="4" t="s">
        <v>22</v>
      </c>
      <c r="E14" s="5"/>
    </row>
    <row r="15" spans="2:10" ht="19.95" customHeight="1" x14ac:dyDescent="0.3">
      <c r="B15" s="6">
        <v>10</v>
      </c>
      <c r="C15" s="7" t="s">
        <v>23</v>
      </c>
      <c r="D15" s="8" t="s">
        <v>24</v>
      </c>
      <c r="E15" s="9"/>
    </row>
    <row r="16" spans="2:10" ht="19.95" customHeight="1" x14ac:dyDescent="0.3">
      <c r="B16" s="2">
        <v>11</v>
      </c>
      <c r="C16" s="3" t="s">
        <v>25</v>
      </c>
      <c r="D16" s="4" t="s">
        <v>26</v>
      </c>
      <c r="E16" s="5"/>
    </row>
    <row r="18" spans="2:10" x14ac:dyDescent="0.3">
      <c r="B18" s="117" t="s">
        <v>27</v>
      </c>
      <c r="C18" s="118"/>
      <c r="D18" s="118"/>
      <c r="E18" s="118"/>
      <c r="F18" s="118"/>
      <c r="G18" s="118"/>
      <c r="H18" s="118"/>
      <c r="I18" s="118"/>
      <c r="J18" s="119"/>
    </row>
  </sheetData>
  <mergeCells count="2">
    <mergeCell ref="B18:J18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8"/>
  <sheetViews>
    <sheetView showGridLines="0" tabSelected="1" workbookViewId="0">
      <pane xSplit="2" ySplit="5" topLeftCell="C7" activePane="bottomRight" state="frozen"/>
      <selection pane="topRight"/>
      <selection pane="bottomLeft"/>
      <selection pane="bottomRight" activeCell="A19" sqref="A19"/>
    </sheetView>
  </sheetViews>
  <sheetFormatPr defaultRowHeight="14.4" x14ac:dyDescent="0.3"/>
  <cols>
    <col min="1" max="1" width="6" customWidth="1"/>
    <col min="2" max="2" width="22" customWidth="1"/>
    <col min="3" max="6" width="18" customWidth="1"/>
    <col min="7" max="7" width="30" customWidth="1"/>
    <col min="8" max="8" width="40" customWidth="1"/>
    <col min="9" max="11" width="35" customWidth="1"/>
    <col min="12" max="12" width="12" customWidth="1"/>
    <col min="13" max="14" width="16" customWidth="1"/>
    <col min="15" max="15" width="20" customWidth="1"/>
    <col min="16" max="16" width="40" customWidth="1"/>
    <col min="17" max="19" width="18" customWidth="1"/>
    <col min="20" max="20" width="14" customWidth="1"/>
    <col min="21" max="23" width="18" customWidth="1"/>
    <col min="24" max="24" width="20" customWidth="1"/>
    <col min="25" max="25" width="22" customWidth="1"/>
  </cols>
  <sheetData>
    <row r="1" spans="1:25" ht="36" customHeight="1" thickBot="1" x14ac:dyDescent="0.35">
      <c r="A1" s="124" t="s">
        <v>28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3"/>
    </row>
    <row r="2" spans="1:25" ht="18" customHeight="1" x14ac:dyDescent="0.3">
      <c r="A2" s="10" t="s">
        <v>29</v>
      </c>
      <c r="B2" s="11"/>
      <c r="E2" s="10" t="s">
        <v>30</v>
      </c>
      <c r="F2" s="11"/>
      <c r="I2" s="10" t="s">
        <v>31</v>
      </c>
      <c r="J2" s="10"/>
      <c r="K2" s="10"/>
      <c r="L2" s="12" t="s">
        <v>32</v>
      </c>
    </row>
    <row r="3" spans="1:25" ht="18" customHeight="1" x14ac:dyDescent="0.3">
      <c r="A3" s="10" t="s">
        <v>33</v>
      </c>
      <c r="B3" s="11"/>
      <c r="E3" s="10" t="s">
        <v>34</v>
      </c>
      <c r="F3" s="12" t="s">
        <v>35</v>
      </c>
      <c r="I3" s="10" t="s">
        <v>36</v>
      </c>
      <c r="J3" s="10"/>
      <c r="K3" s="10"/>
      <c r="L3" s="11"/>
    </row>
    <row r="4" spans="1:25" ht="18" customHeight="1" x14ac:dyDescent="0.3">
      <c r="A4" s="10" t="s">
        <v>37</v>
      </c>
      <c r="B4" s="12" t="s">
        <v>38</v>
      </c>
    </row>
    <row r="5" spans="1:25" ht="7.95" customHeight="1" thickBot="1" x14ac:dyDescent="0.35"/>
    <row r="6" spans="1:25" ht="42" customHeight="1" thickBot="1" x14ac:dyDescent="0.35">
      <c r="A6" s="13" t="s">
        <v>39</v>
      </c>
      <c r="B6" s="13" t="s">
        <v>40</v>
      </c>
      <c r="C6" s="13" t="s">
        <v>41</v>
      </c>
      <c r="D6" s="13" t="s">
        <v>42</v>
      </c>
      <c r="E6" s="13" t="s">
        <v>43</v>
      </c>
      <c r="F6" s="13" t="s">
        <v>44</v>
      </c>
      <c r="G6" s="13" t="s">
        <v>45</v>
      </c>
      <c r="H6" s="13" t="s">
        <v>46</v>
      </c>
      <c r="I6" s="13" t="s">
        <v>47</v>
      </c>
      <c r="J6" s="13" t="s">
        <v>53</v>
      </c>
      <c r="K6" s="13" t="s">
        <v>54</v>
      </c>
      <c r="L6" s="13" t="s">
        <v>48</v>
      </c>
      <c r="M6" s="13" t="s">
        <v>49</v>
      </c>
      <c r="N6" s="13" t="s">
        <v>50</v>
      </c>
      <c r="O6" s="13" t="s">
        <v>51</v>
      </c>
      <c r="P6" s="13" t="s">
        <v>52</v>
      </c>
      <c r="Q6" s="13" t="s">
        <v>55</v>
      </c>
      <c r="R6" s="13" t="s">
        <v>56</v>
      </c>
      <c r="S6" s="13" t="s">
        <v>57</v>
      </c>
      <c r="T6" s="13" t="s">
        <v>58</v>
      </c>
      <c r="U6" s="13" t="s">
        <v>59</v>
      </c>
      <c r="V6" s="13" t="s">
        <v>60</v>
      </c>
      <c r="W6" s="13" t="s">
        <v>61</v>
      </c>
      <c r="X6" s="13" t="s">
        <v>62</v>
      </c>
      <c r="Y6" s="13" t="s">
        <v>63</v>
      </c>
    </row>
    <row r="7" spans="1:25" ht="18" customHeight="1" x14ac:dyDescent="0.3">
      <c r="A7" s="19" t="s">
        <v>64</v>
      </c>
      <c r="B7" s="20" t="s">
        <v>65</v>
      </c>
      <c r="C7" s="20" t="s">
        <v>66</v>
      </c>
      <c r="D7" s="20"/>
      <c r="E7" s="20"/>
      <c r="F7" s="20"/>
      <c r="G7" s="20" t="s">
        <v>66</v>
      </c>
      <c r="H7" s="21" t="s">
        <v>67</v>
      </c>
      <c r="I7" s="20"/>
      <c r="J7" s="20"/>
      <c r="K7" s="20"/>
      <c r="L7" s="19" t="s">
        <v>68</v>
      </c>
      <c r="M7" s="20" t="s">
        <v>69</v>
      </c>
      <c r="N7" s="20"/>
      <c r="O7" s="20"/>
      <c r="P7" s="20"/>
      <c r="Q7" s="23"/>
      <c r="R7" s="23"/>
      <c r="S7" s="105">
        <f t="shared" ref="S7:S18" si="0">Q7-R7</f>
        <v>0</v>
      </c>
      <c r="T7" s="111">
        <v>1</v>
      </c>
      <c r="U7" s="105">
        <f t="shared" ref="U7:U18" si="1">IF(T7&lt;&gt;0,Q7/T7,"")</f>
        <v>0</v>
      </c>
      <c r="V7" s="105">
        <f t="shared" ref="V7:V18" si="2">IF(T7&lt;&gt;0,R7/T7,"")</f>
        <v>0</v>
      </c>
      <c r="W7" s="105">
        <f t="shared" ref="W7:W18" si="3">U7-V7</f>
        <v>0</v>
      </c>
      <c r="X7" s="20"/>
      <c r="Y7" s="20"/>
    </row>
    <row r="8" spans="1:25" ht="18" customHeight="1" x14ac:dyDescent="0.3">
      <c r="A8" s="24" t="s">
        <v>64</v>
      </c>
      <c r="B8" s="25" t="s">
        <v>65</v>
      </c>
      <c r="C8" s="25" t="s">
        <v>66</v>
      </c>
      <c r="D8" s="25" t="s">
        <v>70</v>
      </c>
      <c r="E8" s="25"/>
      <c r="F8" s="25"/>
      <c r="G8" s="25" t="s">
        <v>70</v>
      </c>
      <c r="H8" s="26" t="s">
        <v>71</v>
      </c>
      <c r="I8" s="25"/>
      <c r="J8" s="25"/>
      <c r="K8" s="25"/>
      <c r="L8" s="24" t="s">
        <v>68</v>
      </c>
      <c r="M8" s="25" t="s">
        <v>72</v>
      </c>
      <c r="N8" s="25" t="s">
        <v>73</v>
      </c>
      <c r="O8" s="25" t="s">
        <v>74</v>
      </c>
      <c r="P8" s="25" t="s">
        <v>75</v>
      </c>
      <c r="Q8" s="27" t="s">
        <v>76</v>
      </c>
      <c r="R8" s="27"/>
      <c r="S8" s="112">
        <f t="shared" si="0"/>
        <v>5000</v>
      </c>
      <c r="T8" s="113">
        <v>1</v>
      </c>
      <c r="U8" s="112">
        <f t="shared" si="1"/>
        <v>5000</v>
      </c>
      <c r="V8" s="112">
        <f t="shared" si="2"/>
        <v>0</v>
      </c>
      <c r="W8" s="112">
        <f t="shared" si="3"/>
        <v>5000</v>
      </c>
      <c r="X8" s="25"/>
      <c r="Y8" s="25"/>
    </row>
    <row r="9" spans="1:25" ht="18" customHeight="1" x14ac:dyDescent="0.3">
      <c r="A9" s="28" t="s">
        <v>64</v>
      </c>
      <c r="B9" s="29" t="s">
        <v>65</v>
      </c>
      <c r="C9" s="29" t="s">
        <v>66</v>
      </c>
      <c r="D9" s="29" t="s">
        <v>70</v>
      </c>
      <c r="E9" s="29" t="s">
        <v>77</v>
      </c>
      <c r="F9" s="29"/>
      <c r="G9" s="29" t="s">
        <v>77</v>
      </c>
      <c r="H9" s="30" t="s">
        <v>78</v>
      </c>
      <c r="I9" s="29"/>
      <c r="J9" s="29"/>
      <c r="K9" s="29"/>
      <c r="L9" s="28" t="s">
        <v>68</v>
      </c>
      <c r="M9" s="29" t="s">
        <v>72</v>
      </c>
      <c r="N9" s="29" t="s">
        <v>73</v>
      </c>
      <c r="O9" s="29" t="s">
        <v>74</v>
      </c>
      <c r="P9" s="29" t="s">
        <v>79</v>
      </c>
      <c r="Q9" s="31" t="s">
        <v>76</v>
      </c>
      <c r="R9" s="31"/>
      <c r="S9" s="114">
        <f t="shared" si="0"/>
        <v>5000</v>
      </c>
      <c r="T9" s="115">
        <v>1</v>
      </c>
      <c r="U9" s="114">
        <f t="shared" si="1"/>
        <v>5000</v>
      </c>
      <c r="V9" s="114">
        <f t="shared" si="2"/>
        <v>0</v>
      </c>
      <c r="W9" s="114">
        <f t="shared" si="3"/>
        <v>5000</v>
      </c>
      <c r="X9" s="29"/>
      <c r="Y9" s="29"/>
    </row>
    <row r="10" spans="1:25" ht="18" customHeight="1" x14ac:dyDescent="0.3">
      <c r="A10" s="14" t="s">
        <v>64</v>
      </c>
      <c r="B10" s="15" t="s">
        <v>80</v>
      </c>
      <c r="C10" s="15"/>
      <c r="D10" s="15"/>
      <c r="E10" s="15"/>
      <c r="F10" s="15"/>
      <c r="G10" s="15" t="s">
        <v>80</v>
      </c>
      <c r="H10" s="16" t="s">
        <v>81</v>
      </c>
      <c r="I10" s="15"/>
      <c r="J10" s="15"/>
      <c r="K10" s="15"/>
      <c r="L10" s="14" t="s">
        <v>68</v>
      </c>
      <c r="M10" s="15" t="s">
        <v>69</v>
      </c>
      <c r="N10" s="15"/>
      <c r="O10" s="15"/>
      <c r="P10" s="15"/>
      <c r="Q10" s="18"/>
      <c r="R10" s="18"/>
      <c r="S10" s="107">
        <f t="shared" si="0"/>
        <v>0</v>
      </c>
      <c r="T10" s="116">
        <v>1</v>
      </c>
      <c r="U10" s="107">
        <f t="shared" si="1"/>
        <v>0</v>
      </c>
      <c r="V10" s="107">
        <f t="shared" si="2"/>
        <v>0</v>
      </c>
      <c r="W10" s="107">
        <f t="shared" si="3"/>
        <v>0</v>
      </c>
      <c r="X10" s="15"/>
      <c r="Y10" s="15"/>
    </row>
    <row r="11" spans="1:25" ht="18" customHeight="1" x14ac:dyDescent="0.3">
      <c r="A11" s="19" t="s">
        <v>64</v>
      </c>
      <c r="B11" s="20" t="s">
        <v>80</v>
      </c>
      <c r="C11" s="20" t="s">
        <v>82</v>
      </c>
      <c r="D11" s="20"/>
      <c r="E11" s="20"/>
      <c r="F11" s="20"/>
      <c r="G11" s="20" t="s">
        <v>82</v>
      </c>
      <c r="H11" s="21" t="s">
        <v>83</v>
      </c>
      <c r="I11" s="20"/>
      <c r="J11" s="20"/>
      <c r="K11" s="20"/>
      <c r="L11" s="19" t="s">
        <v>68</v>
      </c>
      <c r="M11" s="20" t="s">
        <v>84</v>
      </c>
      <c r="N11" s="20" t="s">
        <v>85</v>
      </c>
      <c r="O11" s="20" t="s">
        <v>86</v>
      </c>
      <c r="P11" s="20" t="s">
        <v>87</v>
      </c>
      <c r="Q11" s="23"/>
      <c r="R11" s="23" t="s">
        <v>88</v>
      </c>
      <c r="S11" s="105">
        <f t="shared" si="0"/>
        <v>-25000</v>
      </c>
      <c r="T11" s="111">
        <v>1</v>
      </c>
      <c r="U11" s="105">
        <f t="shared" si="1"/>
        <v>0</v>
      </c>
      <c r="V11" s="105">
        <f t="shared" si="2"/>
        <v>25000</v>
      </c>
      <c r="W11" s="105">
        <f t="shared" si="3"/>
        <v>-25000</v>
      </c>
      <c r="X11" s="20"/>
      <c r="Y11" s="20"/>
    </row>
    <row r="12" spans="1:25" ht="18" customHeight="1" x14ac:dyDescent="0.3">
      <c r="A12" s="24" t="s">
        <v>64</v>
      </c>
      <c r="B12" s="25" t="s">
        <v>80</v>
      </c>
      <c r="C12" s="25" t="s">
        <v>82</v>
      </c>
      <c r="D12" s="25" t="s">
        <v>89</v>
      </c>
      <c r="E12" s="25"/>
      <c r="F12" s="25"/>
      <c r="G12" s="25" t="s">
        <v>89</v>
      </c>
      <c r="H12" s="26" t="s">
        <v>90</v>
      </c>
      <c r="I12" s="25"/>
      <c r="J12" s="25"/>
      <c r="K12" s="25"/>
      <c r="L12" s="24" t="s">
        <v>68</v>
      </c>
      <c r="M12" s="25" t="s">
        <v>84</v>
      </c>
      <c r="N12" s="25" t="s">
        <v>85</v>
      </c>
      <c r="O12" s="25" t="s">
        <v>86</v>
      </c>
      <c r="P12" s="25" t="s">
        <v>91</v>
      </c>
      <c r="Q12" s="27"/>
      <c r="R12" s="27" t="s">
        <v>88</v>
      </c>
      <c r="S12" s="112">
        <f t="shared" si="0"/>
        <v>-25000</v>
      </c>
      <c r="T12" s="113">
        <v>1</v>
      </c>
      <c r="U12" s="112">
        <f t="shared" si="1"/>
        <v>0</v>
      </c>
      <c r="V12" s="112">
        <f t="shared" si="2"/>
        <v>25000</v>
      </c>
      <c r="W12" s="112">
        <f t="shared" si="3"/>
        <v>-25000</v>
      </c>
      <c r="X12" s="25"/>
      <c r="Y12" s="25"/>
    </row>
    <row r="13" spans="1:25" ht="18" customHeight="1" x14ac:dyDescent="0.3">
      <c r="A13" s="14" t="s">
        <v>92</v>
      </c>
      <c r="B13" s="15" t="s">
        <v>93</v>
      </c>
      <c r="C13" s="15"/>
      <c r="D13" s="15"/>
      <c r="E13" s="15"/>
      <c r="F13" s="15"/>
      <c r="G13" s="15" t="s">
        <v>93</v>
      </c>
      <c r="H13" s="16" t="s">
        <v>94</v>
      </c>
      <c r="I13" s="15"/>
      <c r="J13" s="15"/>
      <c r="K13" s="15"/>
      <c r="L13" s="14" t="s">
        <v>95</v>
      </c>
      <c r="M13" s="15" t="s">
        <v>69</v>
      </c>
      <c r="N13" s="15"/>
      <c r="O13" s="15"/>
      <c r="P13" s="15"/>
      <c r="Q13" s="18"/>
      <c r="R13" s="18"/>
      <c r="S13" s="107">
        <f t="shared" si="0"/>
        <v>0</v>
      </c>
      <c r="T13" s="116">
        <v>1</v>
      </c>
      <c r="U13" s="107">
        <f t="shared" si="1"/>
        <v>0</v>
      </c>
      <c r="V13" s="107">
        <f t="shared" si="2"/>
        <v>0</v>
      </c>
      <c r="W13" s="107">
        <f t="shared" si="3"/>
        <v>0</v>
      </c>
      <c r="X13" s="15"/>
      <c r="Y13" s="15"/>
    </row>
    <row r="14" spans="1:25" ht="18" customHeight="1" x14ac:dyDescent="0.3">
      <c r="A14" s="19" t="s">
        <v>92</v>
      </c>
      <c r="B14" s="20" t="s">
        <v>93</v>
      </c>
      <c r="C14" s="20" t="s">
        <v>96</v>
      </c>
      <c r="D14" s="20"/>
      <c r="E14" s="20"/>
      <c r="F14" s="20"/>
      <c r="G14" s="20" t="s">
        <v>96</v>
      </c>
      <c r="H14" s="21" t="s">
        <v>97</v>
      </c>
      <c r="I14" s="20"/>
      <c r="J14" s="20"/>
      <c r="K14" s="20"/>
      <c r="L14" s="19" t="s">
        <v>95</v>
      </c>
      <c r="M14" s="20" t="s">
        <v>98</v>
      </c>
      <c r="N14" s="20" t="s">
        <v>99</v>
      </c>
      <c r="O14" s="20" t="s">
        <v>100</v>
      </c>
      <c r="P14" s="20" t="s">
        <v>101</v>
      </c>
      <c r="Q14" s="23"/>
      <c r="R14" s="23" t="s">
        <v>102</v>
      </c>
      <c r="S14" s="105">
        <f t="shared" si="0"/>
        <v>-18000</v>
      </c>
      <c r="T14" s="111">
        <v>1</v>
      </c>
      <c r="U14" s="105">
        <f t="shared" si="1"/>
        <v>0</v>
      </c>
      <c r="V14" s="105">
        <f t="shared" si="2"/>
        <v>18000</v>
      </c>
      <c r="W14" s="105">
        <f t="shared" si="3"/>
        <v>-18000</v>
      </c>
      <c r="X14" s="20"/>
      <c r="Y14" s="20"/>
    </row>
    <row r="15" spans="1:25" ht="18" customHeight="1" x14ac:dyDescent="0.3">
      <c r="A15" s="14" t="s">
        <v>103</v>
      </c>
      <c r="B15" s="15" t="s">
        <v>104</v>
      </c>
      <c r="C15" s="15"/>
      <c r="D15" s="15"/>
      <c r="E15" s="15"/>
      <c r="F15" s="15"/>
      <c r="G15" s="15" t="s">
        <v>104</v>
      </c>
      <c r="H15" s="16" t="s">
        <v>105</v>
      </c>
      <c r="I15" s="15"/>
      <c r="J15" s="15"/>
      <c r="K15" s="15"/>
      <c r="L15" s="14" t="s">
        <v>106</v>
      </c>
      <c r="M15" s="15" t="s">
        <v>69</v>
      </c>
      <c r="N15" s="15"/>
      <c r="O15" s="15"/>
      <c r="P15" s="15"/>
      <c r="Q15" s="18"/>
      <c r="R15" s="18"/>
      <c r="S15" s="107">
        <f t="shared" si="0"/>
        <v>0</v>
      </c>
      <c r="T15" s="116">
        <v>1</v>
      </c>
      <c r="U15" s="107">
        <f t="shared" si="1"/>
        <v>0</v>
      </c>
      <c r="V15" s="107">
        <f t="shared" si="2"/>
        <v>0</v>
      </c>
      <c r="W15" s="107">
        <f t="shared" si="3"/>
        <v>0</v>
      </c>
      <c r="X15" s="15"/>
      <c r="Y15" s="15"/>
    </row>
    <row r="16" spans="1:25" ht="18" customHeight="1" x14ac:dyDescent="0.3">
      <c r="A16" s="19" t="s">
        <v>103</v>
      </c>
      <c r="B16" s="20" t="s">
        <v>104</v>
      </c>
      <c r="C16" s="20" t="s">
        <v>107</v>
      </c>
      <c r="D16" s="20"/>
      <c r="E16" s="20"/>
      <c r="F16" s="20"/>
      <c r="G16" s="20" t="s">
        <v>107</v>
      </c>
      <c r="H16" s="21" t="s">
        <v>108</v>
      </c>
      <c r="I16" s="20"/>
      <c r="J16" s="20"/>
      <c r="K16" s="20"/>
      <c r="L16" s="19" t="s">
        <v>106</v>
      </c>
      <c r="M16" s="20" t="s">
        <v>109</v>
      </c>
      <c r="N16" s="20" t="s">
        <v>110</v>
      </c>
      <c r="O16" s="20" t="s">
        <v>111</v>
      </c>
      <c r="P16" s="20" t="s">
        <v>112</v>
      </c>
      <c r="Q16" s="23"/>
      <c r="R16" s="23" t="s">
        <v>113</v>
      </c>
      <c r="S16" s="105">
        <f t="shared" si="0"/>
        <v>-50000</v>
      </c>
      <c r="T16" s="111">
        <v>1</v>
      </c>
      <c r="U16" s="105">
        <f t="shared" si="1"/>
        <v>0</v>
      </c>
      <c r="V16" s="105">
        <f t="shared" si="2"/>
        <v>50000</v>
      </c>
      <c r="W16" s="105">
        <f t="shared" si="3"/>
        <v>-50000</v>
      </c>
      <c r="X16" s="20"/>
      <c r="Y16" s="20"/>
    </row>
    <row r="17" spans="1:25" ht="18" customHeight="1" x14ac:dyDescent="0.3">
      <c r="A17" s="14" t="s">
        <v>114</v>
      </c>
      <c r="B17" s="15" t="s">
        <v>115</v>
      </c>
      <c r="C17" s="15"/>
      <c r="D17" s="15"/>
      <c r="E17" s="15"/>
      <c r="F17" s="15"/>
      <c r="G17" s="15" t="s">
        <v>115</v>
      </c>
      <c r="H17" s="16" t="s">
        <v>116</v>
      </c>
      <c r="I17" s="15"/>
      <c r="J17" s="15"/>
      <c r="K17" s="15"/>
      <c r="L17" s="14" t="s">
        <v>117</v>
      </c>
      <c r="M17" s="15" t="s">
        <v>69</v>
      </c>
      <c r="N17" s="15"/>
      <c r="O17" s="15"/>
      <c r="P17" s="15"/>
      <c r="Q17" s="18"/>
      <c r="R17" s="18"/>
      <c r="S17" s="107">
        <f t="shared" si="0"/>
        <v>0</v>
      </c>
      <c r="T17" s="116">
        <v>1</v>
      </c>
      <c r="U17" s="107">
        <f t="shared" si="1"/>
        <v>0</v>
      </c>
      <c r="V17" s="107">
        <f t="shared" si="2"/>
        <v>0</v>
      </c>
      <c r="W17" s="107">
        <f t="shared" si="3"/>
        <v>0</v>
      </c>
      <c r="X17" s="15"/>
      <c r="Y17" s="15"/>
    </row>
    <row r="18" spans="1:25" ht="18" customHeight="1" x14ac:dyDescent="0.3">
      <c r="A18" s="19" t="s">
        <v>114</v>
      </c>
      <c r="B18" s="20" t="s">
        <v>115</v>
      </c>
      <c r="C18" s="20" t="s">
        <v>118</v>
      </c>
      <c r="D18" s="20"/>
      <c r="E18" s="20"/>
      <c r="F18" s="20"/>
      <c r="G18" s="20" t="s">
        <v>118</v>
      </c>
      <c r="H18" s="21" t="s">
        <v>119</v>
      </c>
      <c r="I18" s="20"/>
      <c r="J18" s="20"/>
      <c r="K18" s="20"/>
      <c r="L18" s="19" t="s">
        <v>117</v>
      </c>
      <c r="M18" s="20" t="s">
        <v>120</v>
      </c>
      <c r="N18" s="20" t="s">
        <v>121</v>
      </c>
      <c r="O18" s="20" t="s">
        <v>122</v>
      </c>
      <c r="P18" s="20" t="s">
        <v>123</v>
      </c>
      <c r="Q18" s="23" t="s">
        <v>124</v>
      </c>
      <c r="R18" s="23"/>
      <c r="S18" s="105">
        <f t="shared" si="0"/>
        <v>12000</v>
      </c>
      <c r="T18" s="111">
        <v>1</v>
      </c>
      <c r="U18" s="105">
        <f t="shared" si="1"/>
        <v>12000</v>
      </c>
      <c r="V18" s="105">
        <f t="shared" si="2"/>
        <v>0</v>
      </c>
      <c r="W18" s="105">
        <f t="shared" si="3"/>
        <v>12000</v>
      </c>
      <c r="X18" s="20"/>
      <c r="Y18" s="20"/>
    </row>
    <row r="19" spans="1:25" ht="18" customHeight="1" x14ac:dyDescent="0.3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18"/>
      <c r="R19" s="18"/>
      <c r="S19" s="107">
        <f t="shared" ref="S19:S38" si="4">Q19-R19</f>
        <v>0</v>
      </c>
      <c r="T19" s="116">
        <v>1</v>
      </c>
      <c r="U19" s="107">
        <f t="shared" ref="U19:U38" si="5">IF(T19&lt;&gt;0,Q19/T19,"")</f>
        <v>0</v>
      </c>
      <c r="V19" s="107">
        <f t="shared" ref="V19:V38" si="6">IF(T19&lt;&gt;0,R19/T19,"")</f>
        <v>0</v>
      </c>
      <c r="W19" s="107">
        <f t="shared" ref="W19:W38" si="7">U19-V19</f>
        <v>0</v>
      </c>
      <c r="X19" s="57"/>
      <c r="Y19" s="57"/>
    </row>
    <row r="20" spans="1:25" ht="18" customHeight="1" x14ac:dyDescent="0.3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23"/>
      <c r="R20" s="23"/>
      <c r="S20" s="105">
        <f t="shared" si="4"/>
        <v>0</v>
      </c>
      <c r="T20" s="111">
        <v>1</v>
      </c>
      <c r="U20" s="105">
        <f t="shared" si="5"/>
        <v>0</v>
      </c>
      <c r="V20" s="105">
        <f t="shared" si="6"/>
        <v>0</v>
      </c>
      <c r="W20" s="105">
        <f t="shared" si="7"/>
        <v>0</v>
      </c>
      <c r="X20" s="62"/>
      <c r="Y20" s="62"/>
    </row>
    <row r="21" spans="1:25" ht="18" customHeight="1" x14ac:dyDescent="0.3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18"/>
      <c r="R21" s="18"/>
      <c r="S21" s="107">
        <f t="shared" si="4"/>
        <v>0</v>
      </c>
      <c r="T21" s="116">
        <v>1</v>
      </c>
      <c r="U21" s="107">
        <f t="shared" si="5"/>
        <v>0</v>
      </c>
      <c r="V21" s="107">
        <f t="shared" si="6"/>
        <v>0</v>
      </c>
      <c r="W21" s="107">
        <f t="shared" si="7"/>
        <v>0</v>
      </c>
      <c r="X21" s="57"/>
      <c r="Y21" s="57"/>
    </row>
    <row r="22" spans="1:25" ht="18" customHeight="1" x14ac:dyDescent="0.3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23"/>
      <c r="R22" s="23"/>
      <c r="S22" s="105">
        <f t="shared" si="4"/>
        <v>0</v>
      </c>
      <c r="T22" s="111">
        <v>1</v>
      </c>
      <c r="U22" s="105">
        <f t="shared" si="5"/>
        <v>0</v>
      </c>
      <c r="V22" s="105">
        <f t="shared" si="6"/>
        <v>0</v>
      </c>
      <c r="W22" s="105">
        <f t="shared" si="7"/>
        <v>0</v>
      </c>
      <c r="X22" s="62"/>
      <c r="Y22" s="62"/>
    </row>
    <row r="23" spans="1:25" ht="18" customHeight="1" x14ac:dyDescent="0.3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18"/>
      <c r="R23" s="18"/>
      <c r="S23" s="107">
        <f t="shared" si="4"/>
        <v>0</v>
      </c>
      <c r="T23" s="116">
        <v>1</v>
      </c>
      <c r="U23" s="107">
        <f t="shared" si="5"/>
        <v>0</v>
      </c>
      <c r="V23" s="107">
        <f t="shared" si="6"/>
        <v>0</v>
      </c>
      <c r="W23" s="107">
        <f t="shared" si="7"/>
        <v>0</v>
      </c>
      <c r="X23" s="57"/>
      <c r="Y23" s="57"/>
    </row>
    <row r="24" spans="1:25" ht="18" customHeight="1" x14ac:dyDescent="0.3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23"/>
      <c r="R24" s="23"/>
      <c r="S24" s="105">
        <f t="shared" si="4"/>
        <v>0</v>
      </c>
      <c r="T24" s="111">
        <v>1</v>
      </c>
      <c r="U24" s="105">
        <f t="shared" si="5"/>
        <v>0</v>
      </c>
      <c r="V24" s="105">
        <f t="shared" si="6"/>
        <v>0</v>
      </c>
      <c r="W24" s="105">
        <f t="shared" si="7"/>
        <v>0</v>
      </c>
      <c r="X24" s="62"/>
      <c r="Y24" s="62"/>
    </row>
    <row r="25" spans="1:25" ht="18" customHeight="1" x14ac:dyDescent="0.3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18"/>
      <c r="R25" s="18"/>
      <c r="S25" s="107">
        <f t="shared" si="4"/>
        <v>0</v>
      </c>
      <c r="T25" s="116">
        <v>1</v>
      </c>
      <c r="U25" s="107">
        <f t="shared" si="5"/>
        <v>0</v>
      </c>
      <c r="V25" s="107">
        <f t="shared" si="6"/>
        <v>0</v>
      </c>
      <c r="W25" s="107">
        <f t="shared" si="7"/>
        <v>0</v>
      </c>
      <c r="X25" s="57"/>
      <c r="Y25" s="57"/>
    </row>
    <row r="26" spans="1:25" ht="18" customHeight="1" x14ac:dyDescent="0.3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23"/>
      <c r="R26" s="23"/>
      <c r="S26" s="105">
        <f t="shared" si="4"/>
        <v>0</v>
      </c>
      <c r="T26" s="111">
        <v>1</v>
      </c>
      <c r="U26" s="105">
        <f t="shared" si="5"/>
        <v>0</v>
      </c>
      <c r="V26" s="105">
        <f t="shared" si="6"/>
        <v>0</v>
      </c>
      <c r="W26" s="105">
        <f t="shared" si="7"/>
        <v>0</v>
      </c>
      <c r="X26" s="62"/>
      <c r="Y26" s="62"/>
    </row>
    <row r="27" spans="1:25" ht="18" customHeight="1" x14ac:dyDescent="0.3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18"/>
      <c r="R27" s="18"/>
      <c r="S27" s="107">
        <f t="shared" si="4"/>
        <v>0</v>
      </c>
      <c r="T27" s="116">
        <v>1</v>
      </c>
      <c r="U27" s="107">
        <f t="shared" si="5"/>
        <v>0</v>
      </c>
      <c r="V27" s="107">
        <f t="shared" si="6"/>
        <v>0</v>
      </c>
      <c r="W27" s="107">
        <f t="shared" si="7"/>
        <v>0</v>
      </c>
      <c r="X27" s="57"/>
      <c r="Y27" s="57"/>
    </row>
    <row r="28" spans="1:25" ht="18" customHeight="1" x14ac:dyDescent="0.3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23"/>
      <c r="R28" s="23"/>
      <c r="S28" s="105">
        <f t="shared" si="4"/>
        <v>0</v>
      </c>
      <c r="T28" s="111">
        <v>1</v>
      </c>
      <c r="U28" s="105">
        <f t="shared" si="5"/>
        <v>0</v>
      </c>
      <c r="V28" s="105">
        <f t="shared" si="6"/>
        <v>0</v>
      </c>
      <c r="W28" s="105">
        <f t="shared" si="7"/>
        <v>0</v>
      </c>
      <c r="X28" s="62"/>
      <c r="Y28" s="62"/>
    </row>
    <row r="29" spans="1:25" ht="18" customHeight="1" x14ac:dyDescent="0.3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18"/>
      <c r="R29" s="18"/>
      <c r="S29" s="107">
        <f t="shared" si="4"/>
        <v>0</v>
      </c>
      <c r="T29" s="116">
        <v>1</v>
      </c>
      <c r="U29" s="107">
        <f t="shared" si="5"/>
        <v>0</v>
      </c>
      <c r="V29" s="107">
        <f t="shared" si="6"/>
        <v>0</v>
      </c>
      <c r="W29" s="107">
        <f t="shared" si="7"/>
        <v>0</v>
      </c>
      <c r="X29" s="57"/>
      <c r="Y29" s="57"/>
    </row>
    <row r="30" spans="1:25" ht="18" customHeight="1" x14ac:dyDescent="0.3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23"/>
      <c r="R30" s="23"/>
      <c r="S30" s="105">
        <f t="shared" si="4"/>
        <v>0</v>
      </c>
      <c r="T30" s="111">
        <v>1</v>
      </c>
      <c r="U30" s="105">
        <f t="shared" si="5"/>
        <v>0</v>
      </c>
      <c r="V30" s="105">
        <f t="shared" si="6"/>
        <v>0</v>
      </c>
      <c r="W30" s="105">
        <f t="shared" si="7"/>
        <v>0</v>
      </c>
      <c r="X30" s="62"/>
      <c r="Y30" s="62"/>
    </row>
    <row r="31" spans="1:25" ht="18" customHeight="1" x14ac:dyDescent="0.3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18"/>
      <c r="R31" s="18"/>
      <c r="S31" s="107">
        <f t="shared" si="4"/>
        <v>0</v>
      </c>
      <c r="T31" s="116">
        <v>1</v>
      </c>
      <c r="U31" s="107">
        <f t="shared" si="5"/>
        <v>0</v>
      </c>
      <c r="V31" s="107">
        <f t="shared" si="6"/>
        <v>0</v>
      </c>
      <c r="W31" s="107">
        <f t="shared" si="7"/>
        <v>0</v>
      </c>
      <c r="X31" s="57"/>
      <c r="Y31" s="57"/>
    </row>
    <row r="32" spans="1:25" ht="18" customHeight="1" x14ac:dyDescent="0.3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23"/>
      <c r="R32" s="23"/>
      <c r="S32" s="105">
        <f t="shared" si="4"/>
        <v>0</v>
      </c>
      <c r="T32" s="111">
        <v>1</v>
      </c>
      <c r="U32" s="105">
        <f t="shared" si="5"/>
        <v>0</v>
      </c>
      <c r="V32" s="105">
        <f t="shared" si="6"/>
        <v>0</v>
      </c>
      <c r="W32" s="105">
        <f t="shared" si="7"/>
        <v>0</v>
      </c>
      <c r="X32" s="62"/>
      <c r="Y32" s="62"/>
    </row>
    <row r="33" spans="1:25" ht="18" customHeight="1" x14ac:dyDescent="0.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18"/>
      <c r="R33" s="18"/>
      <c r="S33" s="107">
        <f t="shared" si="4"/>
        <v>0</v>
      </c>
      <c r="T33" s="116">
        <v>1</v>
      </c>
      <c r="U33" s="107">
        <f t="shared" si="5"/>
        <v>0</v>
      </c>
      <c r="V33" s="107">
        <f t="shared" si="6"/>
        <v>0</v>
      </c>
      <c r="W33" s="107">
        <f t="shared" si="7"/>
        <v>0</v>
      </c>
      <c r="X33" s="57"/>
      <c r="Y33" s="57"/>
    </row>
    <row r="34" spans="1:25" ht="18" customHeight="1" x14ac:dyDescent="0.3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23"/>
      <c r="R34" s="23"/>
      <c r="S34" s="105">
        <f t="shared" si="4"/>
        <v>0</v>
      </c>
      <c r="T34" s="111">
        <v>1</v>
      </c>
      <c r="U34" s="105">
        <f t="shared" si="5"/>
        <v>0</v>
      </c>
      <c r="V34" s="105">
        <f t="shared" si="6"/>
        <v>0</v>
      </c>
      <c r="W34" s="105">
        <f t="shared" si="7"/>
        <v>0</v>
      </c>
      <c r="X34" s="62"/>
      <c r="Y34" s="62"/>
    </row>
    <row r="35" spans="1:25" ht="18" customHeight="1" x14ac:dyDescent="0.3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18"/>
      <c r="R35" s="18"/>
      <c r="S35" s="107">
        <f t="shared" si="4"/>
        <v>0</v>
      </c>
      <c r="T35" s="116">
        <v>1</v>
      </c>
      <c r="U35" s="107">
        <f t="shared" si="5"/>
        <v>0</v>
      </c>
      <c r="V35" s="107">
        <f t="shared" si="6"/>
        <v>0</v>
      </c>
      <c r="W35" s="107">
        <f t="shared" si="7"/>
        <v>0</v>
      </c>
      <c r="X35" s="57"/>
      <c r="Y35" s="57"/>
    </row>
    <row r="36" spans="1:25" ht="18" customHeight="1" x14ac:dyDescent="0.3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23"/>
      <c r="R36" s="23"/>
      <c r="S36" s="105">
        <f t="shared" si="4"/>
        <v>0</v>
      </c>
      <c r="T36" s="111">
        <v>1</v>
      </c>
      <c r="U36" s="105">
        <f t="shared" si="5"/>
        <v>0</v>
      </c>
      <c r="V36" s="105">
        <f t="shared" si="6"/>
        <v>0</v>
      </c>
      <c r="W36" s="105">
        <f t="shared" si="7"/>
        <v>0</v>
      </c>
      <c r="X36" s="62"/>
      <c r="Y36" s="62"/>
    </row>
    <row r="37" spans="1:25" ht="18" customHeight="1" x14ac:dyDescent="0.3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18"/>
      <c r="R37" s="18"/>
      <c r="S37" s="107">
        <f t="shared" si="4"/>
        <v>0</v>
      </c>
      <c r="T37" s="116">
        <v>1</v>
      </c>
      <c r="U37" s="107">
        <f t="shared" si="5"/>
        <v>0</v>
      </c>
      <c r="V37" s="107">
        <f t="shared" si="6"/>
        <v>0</v>
      </c>
      <c r="W37" s="107">
        <f t="shared" si="7"/>
        <v>0</v>
      </c>
      <c r="X37" s="57"/>
      <c r="Y37" s="57"/>
    </row>
    <row r="38" spans="1:25" ht="18" customHeight="1" x14ac:dyDescent="0.3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23"/>
      <c r="R38" s="23"/>
      <c r="S38" s="105">
        <f t="shared" si="4"/>
        <v>0</v>
      </c>
      <c r="T38" s="111">
        <v>1</v>
      </c>
      <c r="U38" s="105">
        <f t="shared" si="5"/>
        <v>0</v>
      </c>
      <c r="V38" s="105">
        <f t="shared" si="6"/>
        <v>0</v>
      </c>
      <c r="W38" s="105">
        <f t="shared" si="7"/>
        <v>0</v>
      </c>
      <c r="X38" s="62"/>
      <c r="Y38" s="62"/>
    </row>
  </sheetData>
  <autoFilter ref="A6:Y6" xr:uid="{00000000-0009-0000-0000-000001000000}"/>
  <mergeCells count="1"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G13" sqref="G13"/>
    </sheetView>
  </sheetViews>
  <sheetFormatPr defaultRowHeight="14.4" x14ac:dyDescent="0.3"/>
  <cols>
    <col min="1" max="2" width="8" customWidth="1"/>
    <col min="3" max="3" width="14" customWidth="1"/>
    <col min="4" max="6" width="22" customWidth="1"/>
    <col min="7" max="7" width="42" customWidth="1"/>
    <col min="8" max="8" width="30" customWidth="1"/>
    <col min="9" max="9" width="14" customWidth="1"/>
    <col min="10" max="10" width="18" customWidth="1"/>
  </cols>
  <sheetData>
    <row r="1" spans="1:10" ht="36" customHeight="1" x14ac:dyDescent="0.3">
      <c r="A1" s="125" t="s">
        <v>125</v>
      </c>
      <c r="B1" s="121"/>
      <c r="C1" s="121"/>
      <c r="D1" s="121"/>
      <c r="E1" s="121"/>
      <c r="F1" s="121"/>
      <c r="G1" s="121"/>
      <c r="H1" s="121"/>
      <c r="I1" s="121"/>
      <c r="J1" s="121"/>
    </row>
    <row r="3" spans="1:10" ht="40.049999999999997" customHeight="1" x14ac:dyDescent="0.3">
      <c r="A3" s="13" t="s">
        <v>39</v>
      </c>
      <c r="B3" s="13" t="s">
        <v>126</v>
      </c>
      <c r="C3" s="13" t="s">
        <v>127</v>
      </c>
      <c r="D3" s="13" t="s">
        <v>128</v>
      </c>
      <c r="E3" s="13" t="s">
        <v>129</v>
      </c>
      <c r="F3" s="13" t="s">
        <v>130</v>
      </c>
      <c r="G3" s="13" t="s">
        <v>131</v>
      </c>
      <c r="H3" s="13" t="s">
        <v>132</v>
      </c>
      <c r="I3" s="13" t="s">
        <v>133</v>
      </c>
      <c r="J3" s="13" t="s">
        <v>134</v>
      </c>
    </row>
    <row r="4" spans="1:10" ht="16.05" customHeight="1" x14ac:dyDescent="0.3">
      <c r="A4" s="129" t="s">
        <v>135</v>
      </c>
      <c r="B4" s="122"/>
      <c r="C4" s="122"/>
      <c r="D4" s="122"/>
      <c r="E4" s="122"/>
      <c r="F4" s="122"/>
      <c r="G4" s="122"/>
      <c r="H4" s="122"/>
      <c r="I4" s="122"/>
      <c r="J4" s="123"/>
    </row>
    <row r="5" spans="1:10" ht="16.05" customHeight="1" x14ac:dyDescent="0.3">
      <c r="A5" s="32" t="s">
        <v>64</v>
      </c>
      <c r="B5" s="32" t="s">
        <v>136</v>
      </c>
      <c r="C5" s="32"/>
      <c r="D5" s="32"/>
      <c r="E5" s="32"/>
      <c r="F5" s="32"/>
      <c r="G5" s="33" t="s">
        <v>137</v>
      </c>
      <c r="H5" s="32" t="s">
        <v>138</v>
      </c>
      <c r="I5" s="32" t="s">
        <v>139</v>
      </c>
      <c r="J5" s="32" t="s">
        <v>140</v>
      </c>
    </row>
    <row r="6" spans="1:10" ht="16.05" customHeight="1" x14ac:dyDescent="0.3">
      <c r="A6" s="32" t="s">
        <v>64</v>
      </c>
      <c r="B6" s="32" t="s">
        <v>136</v>
      </c>
      <c r="C6" s="32" t="s">
        <v>65</v>
      </c>
      <c r="D6" s="32"/>
      <c r="E6" s="32"/>
      <c r="F6" s="32"/>
      <c r="G6" s="34" t="s">
        <v>141</v>
      </c>
      <c r="H6" s="32" t="s">
        <v>142</v>
      </c>
      <c r="I6" s="32" t="s">
        <v>139</v>
      </c>
      <c r="J6" s="32" t="s">
        <v>140</v>
      </c>
    </row>
    <row r="7" spans="1:10" ht="16.05" customHeight="1" x14ac:dyDescent="0.3">
      <c r="A7" s="32" t="s">
        <v>64</v>
      </c>
      <c r="B7" s="32" t="s">
        <v>136</v>
      </c>
      <c r="C7" s="32" t="s">
        <v>65</v>
      </c>
      <c r="D7" s="32" t="s">
        <v>66</v>
      </c>
      <c r="E7" s="32"/>
      <c r="F7" s="32"/>
      <c r="G7" s="35" t="s">
        <v>143</v>
      </c>
      <c r="H7" s="32" t="s">
        <v>144</v>
      </c>
      <c r="I7" s="32" t="s">
        <v>139</v>
      </c>
      <c r="J7" s="32" t="s">
        <v>140</v>
      </c>
    </row>
    <row r="8" spans="1:10" ht="16.05" customHeight="1" x14ac:dyDescent="0.3">
      <c r="A8" s="32" t="s">
        <v>64</v>
      </c>
      <c r="B8" s="32" t="s">
        <v>136</v>
      </c>
      <c r="C8" s="32" t="s">
        <v>65</v>
      </c>
      <c r="D8" s="32" t="s">
        <v>66</v>
      </c>
      <c r="E8" s="32" t="s">
        <v>70</v>
      </c>
      <c r="F8" s="32"/>
      <c r="G8" s="36" t="s">
        <v>145</v>
      </c>
      <c r="H8" s="32" t="s">
        <v>146</v>
      </c>
      <c r="I8" s="32" t="s">
        <v>139</v>
      </c>
      <c r="J8" s="32" t="s">
        <v>140</v>
      </c>
    </row>
    <row r="9" spans="1:10" ht="16.05" customHeight="1" x14ac:dyDescent="0.3">
      <c r="A9" s="32" t="s">
        <v>64</v>
      </c>
      <c r="B9" s="32" t="s">
        <v>136</v>
      </c>
      <c r="C9" s="32" t="s">
        <v>147</v>
      </c>
      <c r="D9" s="32"/>
      <c r="E9" s="32"/>
      <c r="F9" s="32"/>
      <c r="G9" s="34" t="s">
        <v>148</v>
      </c>
      <c r="H9" s="32" t="s">
        <v>149</v>
      </c>
      <c r="I9" s="32" t="s">
        <v>139</v>
      </c>
      <c r="J9" s="32" t="s">
        <v>140</v>
      </c>
    </row>
    <row r="10" spans="1:10" ht="16.05" customHeight="1" x14ac:dyDescent="0.3">
      <c r="A10" s="32" t="s">
        <v>64</v>
      </c>
      <c r="B10" s="32" t="s">
        <v>136</v>
      </c>
      <c r="C10" s="32" t="s">
        <v>80</v>
      </c>
      <c r="D10" s="32"/>
      <c r="E10" s="32"/>
      <c r="F10" s="32"/>
      <c r="G10" s="34" t="s">
        <v>150</v>
      </c>
      <c r="H10" s="32" t="s">
        <v>151</v>
      </c>
      <c r="I10" s="32" t="s">
        <v>139</v>
      </c>
      <c r="J10" s="32" t="s">
        <v>140</v>
      </c>
    </row>
    <row r="11" spans="1:10" ht="16.05" customHeight="1" x14ac:dyDescent="0.3">
      <c r="A11" s="32" t="s">
        <v>64</v>
      </c>
      <c r="B11" s="32" t="s">
        <v>136</v>
      </c>
      <c r="C11" s="32" t="s">
        <v>152</v>
      </c>
      <c r="D11" s="32"/>
      <c r="E11" s="32"/>
      <c r="F11" s="32"/>
      <c r="G11" s="34" t="s">
        <v>153</v>
      </c>
      <c r="H11" s="32" t="s">
        <v>154</v>
      </c>
      <c r="I11" s="32" t="s">
        <v>155</v>
      </c>
      <c r="J11" s="32" t="s">
        <v>140</v>
      </c>
    </row>
    <row r="12" spans="1:10" ht="16.05" customHeight="1" x14ac:dyDescent="0.3">
      <c r="A12" s="32" t="s">
        <v>64</v>
      </c>
      <c r="B12" s="32" t="s">
        <v>136</v>
      </c>
      <c r="C12" s="32" t="s">
        <v>156</v>
      </c>
      <c r="D12" s="32"/>
      <c r="E12" s="32"/>
      <c r="F12" s="32"/>
      <c r="G12" s="34" t="s">
        <v>157</v>
      </c>
      <c r="H12" s="32" t="s">
        <v>158</v>
      </c>
      <c r="I12" s="32" t="s">
        <v>139</v>
      </c>
      <c r="J12" s="32" t="s">
        <v>140</v>
      </c>
    </row>
    <row r="13" spans="1:10" ht="16.05" customHeight="1" x14ac:dyDescent="0.3">
      <c r="A13" s="32" t="s">
        <v>64</v>
      </c>
      <c r="B13" s="32" t="s">
        <v>159</v>
      </c>
      <c r="C13" s="32"/>
      <c r="D13" s="32"/>
      <c r="E13" s="32"/>
      <c r="F13" s="32"/>
      <c r="G13" s="33" t="s">
        <v>160</v>
      </c>
      <c r="H13" s="32" t="s">
        <v>161</v>
      </c>
      <c r="I13" s="32" t="s">
        <v>139</v>
      </c>
      <c r="J13" s="32" t="s">
        <v>140</v>
      </c>
    </row>
    <row r="14" spans="1:10" ht="16.05" customHeight="1" x14ac:dyDescent="0.3">
      <c r="A14" s="32" t="s">
        <v>64</v>
      </c>
      <c r="B14" s="32" t="s">
        <v>162</v>
      </c>
      <c r="C14" s="32"/>
      <c r="D14" s="32"/>
      <c r="E14" s="32"/>
      <c r="F14" s="32"/>
      <c r="G14" s="33" t="s">
        <v>163</v>
      </c>
      <c r="H14" s="32" t="s">
        <v>164</v>
      </c>
      <c r="I14" s="32" t="s">
        <v>139</v>
      </c>
      <c r="J14" s="32" t="s">
        <v>140</v>
      </c>
    </row>
    <row r="15" spans="1:10" ht="16.05" customHeight="1" x14ac:dyDescent="0.3">
      <c r="A15" s="32" t="s">
        <v>64</v>
      </c>
      <c r="B15" s="32" t="s">
        <v>162</v>
      </c>
      <c r="C15" s="32" t="s">
        <v>165</v>
      </c>
      <c r="D15" s="32"/>
      <c r="E15" s="32"/>
      <c r="F15" s="32"/>
      <c r="G15" s="34" t="s">
        <v>166</v>
      </c>
      <c r="H15" s="32" t="s">
        <v>167</v>
      </c>
      <c r="I15" s="32" t="s">
        <v>139</v>
      </c>
      <c r="J15" s="32" t="s">
        <v>140</v>
      </c>
    </row>
    <row r="16" spans="1:10" ht="16.05" customHeight="1" x14ac:dyDescent="0.3">
      <c r="A16" s="32" t="s">
        <v>64</v>
      </c>
      <c r="B16" s="32" t="s">
        <v>162</v>
      </c>
      <c r="C16" s="32" t="s">
        <v>168</v>
      </c>
      <c r="D16" s="32"/>
      <c r="E16" s="32"/>
      <c r="F16" s="32"/>
      <c r="G16" s="34" t="s">
        <v>169</v>
      </c>
      <c r="H16" s="32" t="s">
        <v>170</v>
      </c>
      <c r="I16" s="32" t="s">
        <v>139</v>
      </c>
      <c r="J16" s="32" t="s">
        <v>140</v>
      </c>
    </row>
    <row r="17" spans="1:10" ht="16.05" customHeight="1" x14ac:dyDescent="0.3">
      <c r="A17" s="32" t="s">
        <v>64</v>
      </c>
      <c r="B17" s="32" t="s">
        <v>162</v>
      </c>
      <c r="C17" s="32" t="s">
        <v>171</v>
      </c>
      <c r="D17" s="32"/>
      <c r="E17" s="32"/>
      <c r="F17" s="32"/>
      <c r="G17" s="34" t="s">
        <v>172</v>
      </c>
      <c r="H17" s="32" t="s">
        <v>173</v>
      </c>
      <c r="I17" s="32" t="s">
        <v>155</v>
      </c>
      <c r="J17" s="32" t="s">
        <v>140</v>
      </c>
    </row>
    <row r="18" spans="1:10" ht="16.05" customHeight="1" x14ac:dyDescent="0.3">
      <c r="A18" s="32" t="s">
        <v>64</v>
      </c>
      <c r="B18" s="32" t="s">
        <v>162</v>
      </c>
      <c r="C18" s="32" t="s">
        <v>174</v>
      </c>
      <c r="D18" s="32"/>
      <c r="E18" s="32"/>
      <c r="F18" s="32"/>
      <c r="G18" s="34" t="s">
        <v>175</v>
      </c>
      <c r="H18" s="32" t="s">
        <v>176</v>
      </c>
      <c r="I18" s="32" t="s">
        <v>139</v>
      </c>
      <c r="J18" s="32" t="s">
        <v>140</v>
      </c>
    </row>
    <row r="19" spans="1:10" ht="16.05" customHeight="1" x14ac:dyDescent="0.3">
      <c r="A19" s="32" t="s">
        <v>64</v>
      </c>
      <c r="B19" s="32" t="s">
        <v>177</v>
      </c>
      <c r="C19" s="32"/>
      <c r="D19" s="32"/>
      <c r="E19" s="32"/>
      <c r="F19" s="32"/>
      <c r="G19" s="33" t="s">
        <v>178</v>
      </c>
      <c r="H19" s="32" t="s">
        <v>179</v>
      </c>
      <c r="I19" s="32" t="s">
        <v>139</v>
      </c>
      <c r="J19" s="32" t="s">
        <v>140</v>
      </c>
    </row>
    <row r="20" spans="1:10" ht="16.05" customHeight="1" x14ac:dyDescent="0.3">
      <c r="A20" s="32" t="s">
        <v>64</v>
      </c>
      <c r="B20" s="32" t="s">
        <v>180</v>
      </c>
      <c r="C20" s="32"/>
      <c r="D20" s="32"/>
      <c r="E20" s="32"/>
      <c r="F20" s="32"/>
      <c r="G20" s="33" t="s">
        <v>181</v>
      </c>
      <c r="H20" s="32" t="s">
        <v>182</v>
      </c>
      <c r="I20" s="32" t="s">
        <v>139</v>
      </c>
      <c r="J20" s="32" t="s">
        <v>140</v>
      </c>
    </row>
    <row r="21" spans="1:10" ht="16.05" customHeight="1" x14ac:dyDescent="0.3">
      <c r="A21" s="32" t="s">
        <v>64</v>
      </c>
      <c r="B21" s="32" t="s">
        <v>180</v>
      </c>
      <c r="C21" s="32" t="s">
        <v>183</v>
      </c>
      <c r="D21" s="32"/>
      <c r="E21" s="32"/>
      <c r="F21" s="32"/>
      <c r="G21" s="34" t="s">
        <v>184</v>
      </c>
      <c r="H21" s="32" t="s">
        <v>185</v>
      </c>
      <c r="I21" s="32" t="s">
        <v>139</v>
      </c>
      <c r="J21" s="32" t="s">
        <v>140</v>
      </c>
    </row>
    <row r="22" spans="1:10" ht="16.05" customHeight="1" x14ac:dyDescent="0.3">
      <c r="A22" s="32" t="s">
        <v>64</v>
      </c>
      <c r="B22" s="32" t="s">
        <v>180</v>
      </c>
      <c r="C22" s="32" t="s">
        <v>186</v>
      </c>
      <c r="D22" s="32"/>
      <c r="E22" s="32"/>
      <c r="F22" s="32"/>
      <c r="G22" s="34" t="s">
        <v>187</v>
      </c>
      <c r="H22" s="32" t="s">
        <v>188</v>
      </c>
      <c r="I22" s="32" t="s">
        <v>139</v>
      </c>
      <c r="J22" s="32" t="s">
        <v>140</v>
      </c>
    </row>
    <row r="23" spans="1:10" ht="16.05" customHeight="1" x14ac:dyDescent="0.3">
      <c r="A23" s="32" t="s">
        <v>64</v>
      </c>
      <c r="B23" s="32" t="s">
        <v>180</v>
      </c>
      <c r="C23" s="32" t="s">
        <v>189</v>
      </c>
      <c r="D23" s="32"/>
      <c r="E23" s="32"/>
      <c r="F23" s="32"/>
      <c r="G23" s="34" t="s">
        <v>190</v>
      </c>
      <c r="H23" s="32" t="s">
        <v>191</v>
      </c>
      <c r="I23" s="32" t="s">
        <v>139</v>
      </c>
      <c r="J23" s="32" t="s">
        <v>140</v>
      </c>
    </row>
    <row r="24" spans="1:10" ht="16.05" customHeight="1" x14ac:dyDescent="0.3">
      <c r="A24" s="32" t="s">
        <v>64</v>
      </c>
      <c r="B24" s="32" t="s">
        <v>180</v>
      </c>
      <c r="C24" s="32" t="s">
        <v>192</v>
      </c>
      <c r="D24" s="32"/>
      <c r="E24" s="32"/>
      <c r="F24" s="32"/>
      <c r="G24" s="34" t="s">
        <v>193</v>
      </c>
      <c r="H24" s="32" t="s">
        <v>194</v>
      </c>
      <c r="I24" s="32" t="s">
        <v>139</v>
      </c>
      <c r="J24" s="32" t="s">
        <v>140</v>
      </c>
    </row>
    <row r="25" spans="1:10" ht="16.05" customHeight="1" x14ac:dyDescent="0.3">
      <c r="A25" s="32" t="s">
        <v>64</v>
      </c>
      <c r="B25" s="32" t="s">
        <v>180</v>
      </c>
      <c r="C25" s="32" t="s">
        <v>195</v>
      </c>
      <c r="D25" s="32"/>
      <c r="E25" s="32"/>
      <c r="F25" s="32"/>
      <c r="G25" s="34" t="s">
        <v>196</v>
      </c>
      <c r="H25" s="32" t="s">
        <v>197</v>
      </c>
      <c r="I25" s="32" t="s">
        <v>139</v>
      </c>
      <c r="J25" s="32" t="s">
        <v>140</v>
      </c>
    </row>
    <row r="26" spans="1:10" ht="16.05" customHeight="1" x14ac:dyDescent="0.3">
      <c r="A26" s="32" t="s">
        <v>64</v>
      </c>
      <c r="B26" s="32" t="s">
        <v>180</v>
      </c>
      <c r="C26" s="32" t="s">
        <v>198</v>
      </c>
      <c r="D26" s="32"/>
      <c r="E26" s="32"/>
      <c r="F26" s="32"/>
      <c r="G26" s="34" t="s">
        <v>199</v>
      </c>
      <c r="H26" s="32" t="s">
        <v>200</v>
      </c>
      <c r="I26" s="32" t="s">
        <v>155</v>
      </c>
      <c r="J26" s="32" t="s">
        <v>140</v>
      </c>
    </row>
    <row r="27" spans="1:10" ht="16.05" customHeight="1" x14ac:dyDescent="0.3">
      <c r="A27" s="32" t="s">
        <v>64</v>
      </c>
      <c r="B27" s="32" t="s">
        <v>201</v>
      </c>
      <c r="C27" s="32"/>
      <c r="D27" s="32"/>
      <c r="E27" s="32"/>
      <c r="F27" s="32"/>
      <c r="G27" s="33" t="s">
        <v>202</v>
      </c>
      <c r="H27" s="32" t="s">
        <v>203</v>
      </c>
      <c r="I27" s="32" t="s">
        <v>139</v>
      </c>
      <c r="J27" s="32" t="s">
        <v>140</v>
      </c>
    </row>
    <row r="28" spans="1:10" ht="16.05" customHeight="1" x14ac:dyDescent="0.3">
      <c r="A28" s="128" t="s">
        <v>204</v>
      </c>
      <c r="B28" s="122"/>
      <c r="C28" s="122"/>
      <c r="D28" s="122"/>
      <c r="E28" s="122"/>
      <c r="F28" s="122"/>
      <c r="G28" s="122"/>
      <c r="H28" s="122"/>
      <c r="I28" s="122"/>
      <c r="J28" s="123"/>
    </row>
    <row r="29" spans="1:10" ht="16.05" customHeight="1" x14ac:dyDescent="0.3">
      <c r="A29" s="37" t="s">
        <v>205</v>
      </c>
      <c r="B29" s="37" t="s">
        <v>206</v>
      </c>
      <c r="C29" s="37"/>
      <c r="D29" s="37"/>
      <c r="E29" s="37"/>
      <c r="F29" s="37"/>
      <c r="G29" s="38" t="s">
        <v>207</v>
      </c>
      <c r="H29" s="37" t="s">
        <v>208</v>
      </c>
      <c r="I29" s="37" t="s">
        <v>139</v>
      </c>
      <c r="J29" s="37" t="s">
        <v>140</v>
      </c>
    </row>
    <row r="30" spans="1:10" ht="16.05" customHeight="1" x14ac:dyDescent="0.3">
      <c r="A30" s="37" t="s">
        <v>205</v>
      </c>
      <c r="B30" s="37" t="s">
        <v>206</v>
      </c>
      <c r="C30" s="37" t="s">
        <v>209</v>
      </c>
      <c r="D30" s="37"/>
      <c r="E30" s="37"/>
      <c r="F30" s="37"/>
      <c r="G30" s="39" t="s">
        <v>210</v>
      </c>
      <c r="H30" s="37" t="s">
        <v>211</v>
      </c>
      <c r="I30" s="37" t="s">
        <v>139</v>
      </c>
      <c r="J30" s="37" t="s">
        <v>140</v>
      </c>
    </row>
    <row r="31" spans="1:10" ht="16.05" customHeight="1" x14ac:dyDescent="0.3">
      <c r="A31" s="37" t="s">
        <v>205</v>
      </c>
      <c r="B31" s="37" t="s">
        <v>206</v>
      </c>
      <c r="C31" s="37" t="s">
        <v>212</v>
      </c>
      <c r="D31" s="37"/>
      <c r="E31" s="37"/>
      <c r="F31" s="37"/>
      <c r="G31" s="39" t="s">
        <v>213</v>
      </c>
      <c r="H31" s="37" t="s">
        <v>214</v>
      </c>
      <c r="I31" s="37" t="s">
        <v>139</v>
      </c>
      <c r="J31" s="37" t="s">
        <v>140</v>
      </c>
    </row>
    <row r="32" spans="1:10" ht="16.05" customHeight="1" x14ac:dyDescent="0.3">
      <c r="A32" s="37" t="s">
        <v>205</v>
      </c>
      <c r="B32" s="37" t="s">
        <v>206</v>
      </c>
      <c r="C32" s="37" t="s">
        <v>215</v>
      </c>
      <c r="D32" s="37"/>
      <c r="E32" s="37"/>
      <c r="F32" s="37"/>
      <c r="G32" s="39" t="s">
        <v>216</v>
      </c>
      <c r="H32" s="37" t="s">
        <v>217</v>
      </c>
      <c r="I32" s="37" t="s">
        <v>139</v>
      </c>
      <c r="J32" s="37" t="s">
        <v>140</v>
      </c>
    </row>
    <row r="33" spans="1:10" ht="16.05" customHeight="1" x14ac:dyDescent="0.3">
      <c r="A33" s="37" t="s">
        <v>205</v>
      </c>
      <c r="B33" s="37" t="s">
        <v>206</v>
      </c>
      <c r="C33" s="37" t="s">
        <v>218</v>
      </c>
      <c r="D33" s="37"/>
      <c r="E33" s="37"/>
      <c r="F33" s="37"/>
      <c r="G33" s="39" t="s">
        <v>219</v>
      </c>
      <c r="H33" s="37" t="s">
        <v>220</v>
      </c>
      <c r="I33" s="37" t="s">
        <v>139</v>
      </c>
      <c r="J33" s="37" t="s">
        <v>140</v>
      </c>
    </row>
    <row r="34" spans="1:10" ht="16.05" customHeight="1" x14ac:dyDescent="0.3">
      <c r="A34" s="37" t="s">
        <v>205</v>
      </c>
      <c r="B34" s="37" t="s">
        <v>206</v>
      </c>
      <c r="C34" s="37" t="s">
        <v>221</v>
      </c>
      <c r="D34" s="37"/>
      <c r="E34" s="37"/>
      <c r="F34" s="37"/>
      <c r="G34" s="39" t="s">
        <v>222</v>
      </c>
      <c r="H34" s="37" t="s">
        <v>223</v>
      </c>
      <c r="I34" s="37" t="s">
        <v>139</v>
      </c>
      <c r="J34" s="37" t="s">
        <v>140</v>
      </c>
    </row>
    <row r="35" spans="1:10" ht="16.05" customHeight="1" x14ac:dyDescent="0.3">
      <c r="A35" s="37" t="s">
        <v>205</v>
      </c>
      <c r="B35" s="37" t="s">
        <v>206</v>
      </c>
      <c r="C35" s="37" t="s">
        <v>224</v>
      </c>
      <c r="D35" s="37"/>
      <c r="E35" s="37"/>
      <c r="F35" s="37"/>
      <c r="G35" s="39" t="s">
        <v>225</v>
      </c>
      <c r="H35" s="37" t="s">
        <v>226</v>
      </c>
      <c r="I35" s="37" t="s">
        <v>139</v>
      </c>
      <c r="J35" s="37" t="s">
        <v>140</v>
      </c>
    </row>
    <row r="36" spans="1:10" ht="16.05" customHeight="1" x14ac:dyDescent="0.3">
      <c r="A36" s="37" t="s">
        <v>205</v>
      </c>
      <c r="B36" s="37" t="s">
        <v>206</v>
      </c>
      <c r="C36" s="37" t="s">
        <v>227</v>
      </c>
      <c r="D36" s="37"/>
      <c r="E36" s="37"/>
      <c r="F36" s="37"/>
      <c r="G36" s="39" t="s">
        <v>228</v>
      </c>
      <c r="H36" s="37" t="s">
        <v>229</v>
      </c>
      <c r="I36" s="37" t="s">
        <v>155</v>
      </c>
      <c r="J36" s="37" t="s">
        <v>140</v>
      </c>
    </row>
    <row r="37" spans="1:10" ht="16.05" customHeight="1" x14ac:dyDescent="0.3">
      <c r="A37" s="37" t="s">
        <v>205</v>
      </c>
      <c r="B37" s="37" t="s">
        <v>230</v>
      </c>
      <c r="C37" s="37"/>
      <c r="D37" s="37"/>
      <c r="E37" s="37"/>
      <c r="F37" s="37"/>
      <c r="G37" s="38" t="s">
        <v>231</v>
      </c>
      <c r="H37" s="37" t="s">
        <v>232</v>
      </c>
      <c r="I37" s="37" t="s">
        <v>139</v>
      </c>
      <c r="J37" s="37" t="s">
        <v>140</v>
      </c>
    </row>
    <row r="38" spans="1:10" ht="16.05" customHeight="1" x14ac:dyDescent="0.3">
      <c r="A38" s="37" t="s">
        <v>205</v>
      </c>
      <c r="B38" s="37" t="s">
        <v>230</v>
      </c>
      <c r="C38" s="37" t="s">
        <v>233</v>
      </c>
      <c r="D38" s="37"/>
      <c r="E38" s="37"/>
      <c r="F38" s="37"/>
      <c r="G38" s="39" t="s">
        <v>234</v>
      </c>
      <c r="H38" s="37" t="s">
        <v>235</v>
      </c>
      <c r="I38" s="37" t="s">
        <v>139</v>
      </c>
      <c r="J38" s="37" t="s">
        <v>140</v>
      </c>
    </row>
    <row r="39" spans="1:10" ht="16.05" customHeight="1" x14ac:dyDescent="0.3">
      <c r="A39" s="37" t="s">
        <v>205</v>
      </c>
      <c r="B39" s="37" t="s">
        <v>230</v>
      </c>
      <c r="C39" s="37" t="s">
        <v>236</v>
      </c>
      <c r="D39" s="37"/>
      <c r="E39" s="37"/>
      <c r="F39" s="37"/>
      <c r="G39" s="39" t="s">
        <v>237</v>
      </c>
      <c r="H39" s="37" t="s">
        <v>238</v>
      </c>
      <c r="I39" s="37" t="s">
        <v>155</v>
      </c>
      <c r="J39" s="37" t="s">
        <v>140</v>
      </c>
    </row>
    <row r="40" spans="1:10" ht="16.05" customHeight="1" x14ac:dyDescent="0.3">
      <c r="A40" s="127" t="s">
        <v>239</v>
      </c>
      <c r="B40" s="122"/>
      <c r="C40" s="122"/>
      <c r="D40" s="122"/>
      <c r="E40" s="122"/>
      <c r="F40" s="122"/>
      <c r="G40" s="122"/>
      <c r="H40" s="122"/>
      <c r="I40" s="122"/>
      <c r="J40" s="123"/>
    </row>
    <row r="41" spans="1:10" ht="16.05" customHeight="1" x14ac:dyDescent="0.3">
      <c r="A41" s="40" t="s">
        <v>92</v>
      </c>
      <c r="B41" s="40" t="s">
        <v>240</v>
      </c>
      <c r="C41" s="40"/>
      <c r="D41" s="40"/>
      <c r="E41" s="40"/>
      <c r="F41" s="40"/>
      <c r="G41" s="41" t="s">
        <v>241</v>
      </c>
      <c r="H41" s="40" t="s">
        <v>242</v>
      </c>
      <c r="I41" s="40" t="s">
        <v>155</v>
      </c>
      <c r="J41" s="40" t="s">
        <v>243</v>
      </c>
    </row>
    <row r="42" spans="1:10" ht="16.05" customHeight="1" x14ac:dyDescent="0.3">
      <c r="A42" s="40" t="s">
        <v>92</v>
      </c>
      <c r="B42" s="40" t="s">
        <v>240</v>
      </c>
      <c r="C42" s="40" t="s">
        <v>244</v>
      </c>
      <c r="D42" s="40"/>
      <c r="E42" s="40"/>
      <c r="F42" s="40"/>
      <c r="G42" s="42" t="s">
        <v>245</v>
      </c>
      <c r="H42" s="40" t="s">
        <v>246</v>
      </c>
      <c r="I42" s="40" t="s">
        <v>155</v>
      </c>
      <c r="J42" s="40" t="s">
        <v>243</v>
      </c>
    </row>
    <row r="43" spans="1:10" ht="16.05" customHeight="1" x14ac:dyDescent="0.3">
      <c r="A43" s="40" t="s">
        <v>92</v>
      </c>
      <c r="B43" s="40" t="s">
        <v>240</v>
      </c>
      <c r="C43" s="40" t="s">
        <v>247</v>
      </c>
      <c r="D43" s="40"/>
      <c r="E43" s="40"/>
      <c r="F43" s="40"/>
      <c r="G43" s="42" t="s">
        <v>248</v>
      </c>
      <c r="H43" s="40" t="s">
        <v>249</v>
      </c>
      <c r="I43" s="40" t="s">
        <v>155</v>
      </c>
      <c r="J43" s="40" t="s">
        <v>243</v>
      </c>
    </row>
    <row r="44" spans="1:10" ht="16.05" customHeight="1" x14ac:dyDescent="0.3">
      <c r="A44" s="40" t="s">
        <v>92</v>
      </c>
      <c r="B44" s="40" t="s">
        <v>250</v>
      </c>
      <c r="C44" s="40"/>
      <c r="D44" s="40"/>
      <c r="E44" s="40"/>
      <c r="F44" s="40"/>
      <c r="G44" s="41" t="s">
        <v>251</v>
      </c>
      <c r="H44" s="40" t="s">
        <v>252</v>
      </c>
      <c r="I44" s="40" t="s">
        <v>155</v>
      </c>
      <c r="J44" s="40" t="s">
        <v>243</v>
      </c>
    </row>
    <row r="45" spans="1:10" ht="16.05" customHeight="1" x14ac:dyDescent="0.3">
      <c r="A45" s="40" t="s">
        <v>92</v>
      </c>
      <c r="B45" s="40" t="s">
        <v>250</v>
      </c>
      <c r="C45" s="40" t="s">
        <v>93</v>
      </c>
      <c r="D45" s="40"/>
      <c r="E45" s="40"/>
      <c r="F45" s="40"/>
      <c r="G45" s="42" t="s">
        <v>253</v>
      </c>
      <c r="H45" s="40" t="s">
        <v>254</v>
      </c>
      <c r="I45" s="40" t="s">
        <v>155</v>
      </c>
      <c r="J45" s="40" t="s">
        <v>243</v>
      </c>
    </row>
    <row r="46" spans="1:10" ht="16.05" customHeight="1" x14ac:dyDescent="0.3">
      <c r="A46" s="40" t="s">
        <v>92</v>
      </c>
      <c r="B46" s="40" t="s">
        <v>250</v>
      </c>
      <c r="C46" s="40" t="s">
        <v>255</v>
      </c>
      <c r="D46" s="40"/>
      <c r="E46" s="40"/>
      <c r="F46" s="40"/>
      <c r="G46" s="42" t="s">
        <v>256</v>
      </c>
      <c r="H46" s="40" t="s">
        <v>257</v>
      </c>
      <c r="I46" s="40" t="s">
        <v>155</v>
      </c>
      <c r="J46" s="40" t="s">
        <v>243</v>
      </c>
    </row>
    <row r="47" spans="1:10" ht="16.05" customHeight="1" x14ac:dyDescent="0.3">
      <c r="A47" s="40" t="s">
        <v>92</v>
      </c>
      <c r="B47" s="40" t="s">
        <v>258</v>
      </c>
      <c r="C47" s="40"/>
      <c r="D47" s="40"/>
      <c r="E47" s="40"/>
      <c r="F47" s="40"/>
      <c r="G47" s="41" t="s">
        <v>259</v>
      </c>
      <c r="H47" s="40" t="s">
        <v>260</v>
      </c>
      <c r="I47" s="40" t="s">
        <v>155</v>
      </c>
      <c r="J47" s="40" t="s">
        <v>243</v>
      </c>
    </row>
    <row r="48" spans="1:10" ht="16.05" customHeight="1" x14ac:dyDescent="0.3">
      <c r="A48" s="40" t="s">
        <v>92</v>
      </c>
      <c r="B48" s="40" t="s">
        <v>261</v>
      </c>
      <c r="C48" s="40"/>
      <c r="D48" s="40"/>
      <c r="E48" s="40"/>
      <c r="F48" s="40"/>
      <c r="G48" s="41" t="s">
        <v>262</v>
      </c>
      <c r="H48" s="40" t="s">
        <v>263</v>
      </c>
      <c r="I48" s="40" t="s">
        <v>155</v>
      </c>
      <c r="J48" s="40" t="s">
        <v>243</v>
      </c>
    </row>
    <row r="49" spans="1:10" ht="16.05" customHeight="1" x14ac:dyDescent="0.3">
      <c r="A49" s="40" t="s">
        <v>92</v>
      </c>
      <c r="B49" s="40" t="s">
        <v>261</v>
      </c>
      <c r="C49" s="40" t="s">
        <v>264</v>
      </c>
      <c r="D49" s="40"/>
      <c r="E49" s="40"/>
      <c r="F49" s="40"/>
      <c r="G49" s="42" t="s">
        <v>265</v>
      </c>
      <c r="H49" s="40" t="s">
        <v>266</v>
      </c>
      <c r="I49" s="40" t="s">
        <v>155</v>
      </c>
      <c r="J49" s="40" t="s">
        <v>243</v>
      </c>
    </row>
    <row r="50" spans="1:10" ht="16.05" customHeight="1" x14ac:dyDescent="0.3">
      <c r="A50" s="40" t="s">
        <v>92</v>
      </c>
      <c r="B50" s="40" t="s">
        <v>261</v>
      </c>
      <c r="C50" s="40" t="s">
        <v>267</v>
      </c>
      <c r="D50" s="40"/>
      <c r="E50" s="40"/>
      <c r="F50" s="40"/>
      <c r="G50" s="42" t="s">
        <v>268</v>
      </c>
      <c r="H50" s="40" t="s">
        <v>269</v>
      </c>
      <c r="I50" s="40" t="s">
        <v>155</v>
      </c>
      <c r="J50" s="40" t="s">
        <v>243</v>
      </c>
    </row>
    <row r="51" spans="1:10" ht="16.05" customHeight="1" x14ac:dyDescent="0.3">
      <c r="A51" s="40" t="s">
        <v>92</v>
      </c>
      <c r="B51" s="40" t="s">
        <v>270</v>
      </c>
      <c r="C51" s="40"/>
      <c r="D51" s="40"/>
      <c r="E51" s="40"/>
      <c r="F51" s="40"/>
      <c r="G51" s="41" t="s">
        <v>271</v>
      </c>
      <c r="H51" s="40" t="s">
        <v>272</v>
      </c>
      <c r="I51" s="40" t="s">
        <v>155</v>
      </c>
      <c r="J51" s="40" t="s">
        <v>243</v>
      </c>
    </row>
    <row r="52" spans="1:10" ht="16.05" customHeight="1" x14ac:dyDescent="0.3">
      <c r="A52" s="131" t="s">
        <v>273</v>
      </c>
      <c r="B52" s="122"/>
      <c r="C52" s="122"/>
      <c r="D52" s="122"/>
      <c r="E52" s="122"/>
      <c r="F52" s="122"/>
      <c r="G52" s="122"/>
      <c r="H52" s="122"/>
      <c r="I52" s="122"/>
      <c r="J52" s="123"/>
    </row>
    <row r="53" spans="1:10" ht="16.05" customHeight="1" x14ac:dyDescent="0.3">
      <c r="A53" s="43" t="s">
        <v>274</v>
      </c>
      <c r="B53" s="43" t="s">
        <v>275</v>
      </c>
      <c r="C53" s="43"/>
      <c r="D53" s="43"/>
      <c r="E53" s="43"/>
      <c r="F53" s="43"/>
      <c r="G53" s="44" t="s">
        <v>241</v>
      </c>
      <c r="H53" s="43" t="s">
        <v>276</v>
      </c>
      <c r="I53" s="43" t="s">
        <v>155</v>
      </c>
      <c r="J53" s="43" t="s">
        <v>243</v>
      </c>
    </row>
    <row r="54" spans="1:10" ht="16.05" customHeight="1" x14ac:dyDescent="0.3">
      <c r="A54" s="43" t="s">
        <v>274</v>
      </c>
      <c r="B54" s="43" t="s">
        <v>275</v>
      </c>
      <c r="C54" s="43" t="s">
        <v>277</v>
      </c>
      <c r="D54" s="43"/>
      <c r="E54" s="43"/>
      <c r="F54" s="43"/>
      <c r="G54" s="45" t="s">
        <v>245</v>
      </c>
      <c r="H54" s="43" t="s">
        <v>278</v>
      </c>
      <c r="I54" s="43" t="s">
        <v>155</v>
      </c>
      <c r="J54" s="43" t="s">
        <v>243</v>
      </c>
    </row>
    <row r="55" spans="1:10" ht="16.05" customHeight="1" x14ac:dyDescent="0.3">
      <c r="A55" s="128" t="s">
        <v>279</v>
      </c>
      <c r="B55" s="122"/>
      <c r="C55" s="122"/>
      <c r="D55" s="122"/>
      <c r="E55" s="122"/>
      <c r="F55" s="122"/>
      <c r="G55" s="122"/>
      <c r="H55" s="122"/>
      <c r="I55" s="122"/>
      <c r="J55" s="123"/>
    </row>
    <row r="56" spans="1:10" ht="16.05" customHeight="1" x14ac:dyDescent="0.3">
      <c r="A56" s="37" t="s">
        <v>280</v>
      </c>
      <c r="B56" s="37" t="s">
        <v>281</v>
      </c>
      <c r="C56" s="37"/>
      <c r="D56" s="37"/>
      <c r="E56" s="37"/>
      <c r="F56" s="37"/>
      <c r="G56" s="38" t="s">
        <v>282</v>
      </c>
      <c r="H56" s="37" t="s">
        <v>283</v>
      </c>
      <c r="I56" s="37" t="s">
        <v>155</v>
      </c>
      <c r="J56" s="37" t="s">
        <v>243</v>
      </c>
    </row>
    <row r="57" spans="1:10" ht="16.05" customHeight="1" x14ac:dyDescent="0.3">
      <c r="A57" s="37" t="s">
        <v>280</v>
      </c>
      <c r="B57" s="37" t="s">
        <v>281</v>
      </c>
      <c r="C57" s="37" t="s">
        <v>284</v>
      </c>
      <c r="D57" s="37"/>
      <c r="E57" s="37"/>
      <c r="F57" s="37"/>
      <c r="G57" s="39" t="s">
        <v>285</v>
      </c>
      <c r="H57" s="37" t="s">
        <v>286</v>
      </c>
      <c r="I57" s="37" t="s">
        <v>155</v>
      </c>
      <c r="J57" s="37" t="s">
        <v>243</v>
      </c>
    </row>
    <row r="58" spans="1:10" ht="16.05" customHeight="1" x14ac:dyDescent="0.3">
      <c r="A58" s="37" t="s">
        <v>280</v>
      </c>
      <c r="B58" s="37" t="s">
        <v>287</v>
      </c>
      <c r="C58" s="37"/>
      <c r="D58" s="37"/>
      <c r="E58" s="37"/>
      <c r="F58" s="37"/>
      <c r="G58" s="38" t="s">
        <v>288</v>
      </c>
      <c r="H58" s="37" t="s">
        <v>289</v>
      </c>
      <c r="I58" s="37" t="s">
        <v>155</v>
      </c>
      <c r="J58" s="37" t="s">
        <v>243</v>
      </c>
    </row>
    <row r="59" spans="1:10" ht="16.05" customHeight="1" x14ac:dyDescent="0.3">
      <c r="A59" s="37" t="s">
        <v>280</v>
      </c>
      <c r="B59" s="37" t="s">
        <v>290</v>
      </c>
      <c r="C59" s="37"/>
      <c r="D59" s="37"/>
      <c r="E59" s="37"/>
      <c r="F59" s="37"/>
      <c r="G59" s="38" t="s">
        <v>291</v>
      </c>
      <c r="H59" s="37" t="s">
        <v>292</v>
      </c>
      <c r="I59" s="37" t="s">
        <v>155</v>
      </c>
      <c r="J59" s="37" t="s">
        <v>243</v>
      </c>
    </row>
    <row r="60" spans="1:10" ht="16.05" customHeight="1" x14ac:dyDescent="0.3">
      <c r="A60" s="37" t="s">
        <v>280</v>
      </c>
      <c r="B60" s="37" t="s">
        <v>293</v>
      </c>
      <c r="C60" s="37"/>
      <c r="D60" s="37"/>
      <c r="E60" s="37"/>
      <c r="F60" s="37"/>
      <c r="G60" s="38" t="s">
        <v>294</v>
      </c>
      <c r="H60" s="37" t="s">
        <v>295</v>
      </c>
      <c r="I60" s="37" t="s">
        <v>155</v>
      </c>
      <c r="J60" s="37" t="s">
        <v>243</v>
      </c>
    </row>
    <row r="61" spans="1:10" ht="16.05" customHeight="1" x14ac:dyDescent="0.3">
      <c r="A61" s="37" t="s">
        <v>280</v>
      </c>
      <c r="B61" s="37" t="s">
        <v>296</v>
      </c>
      <c r="C61" s="37"/>
      <c r="D61" s="37"/>
      <c r="E61" s="37"/>
      <c r="F61" s="37"/>
      <c r="G61" s="38" t="s">
        <v>297</v>
      </c>
      <c r="H61" s="37" t="s">
        <v>298</v>
      </c>
      <c r="I61" s="37" t="s">
        <v>139</v>
      </c>
      <c r="J61" s="37" t="s">
        <v>243</v>
      </c>
    </row>
    <row r="62" spans="1:10" ht="16.05" customHeight="1" x14ac:dyDescent="0.3">
      <c r="A62" s="37" t="s">
        <v>280</v>
      </c>
      <c r="B62" s="37" t="s">
        <v>299</v>
      </c>
      <c r="C62" s="37"/>
      <c r="D62" s="37"/>
      <c r="E62" s="37"/>
      <c r="F62" s="37"/>
      <c r="G62" s="38" t="s">
        <v>300</v>
      </c>
      <c r="H62" s="37" t="s">
        <v>301</v>
      </c>
      <c r="I62" s="37" t="s">
        <v>155</v>
      </c>
      <c r="J62" s="37" t="s">
        <v>243</v>
      </c>
    </row>
    <row r="63" spans="1:10" ht="16.05" customHeight="1" x14ac:dyDescent="0.3">
      <c r="A63" s="133" t="s">
        <v>302</v>
      </c>
      <c r="B63" s="122"/>
      <c r="C63" s="122"/>
      <c r="D63" s="122"/>
      <c r="E63" s="122"/>
      <c r="F63" s="122"/>
      <c r="G63" s="122"/>
      <c r="H63" s="122"/>
      <c r="I63" s="122"/>
      <c r="J63" s="123"/>
    </row>
    <row r="64" spans="1:10" ht="16.05" customHeight="1" x14ac:dyDescent="0.3">
      <c r="A64" s="46" t="s">
        <v>103</v>
      </c>
      <c r="B64" s="46" t="s">
        <v>303</v>
      </c>
      <c r="C64" s="46"/>
      <c r="D64" s="46"/>
      <c r="E64" s="46"/>
      <c r="F64" s="46"/>
      <c r="G64" s="47" t="s">
        <v>304</v>
      </c>
      <c r="H64" s="46" t="s">
        <v>305</v>
      </c>
      <c r="I64" s="46" t="s">
        <v>155</v>
      </c>
      <c r="J64" s="46" t="s">
        <v>11</v>
      </c>
    </row>
    <row r="65" spans="1:10" ht="16.05" customHeight="1" x14ac:dyDescent="0.3">
      <c r="A65" s="46" t="s">
        <v>103</v>
      </c>
      <c r="B65" s="46" t="s">
        <v>303</v>
      </c>
      <c r="C65" s="46" t="s">
        <v>104</v>
      </c>
      <c r="D65" s="46"/>
      <c r="E65" s="46"/>
      <c r="F65" s="46"/>
      <c r="G65" s="48" t="s">
        <v>306</v>
      </c>
      <c r="H65" s="46" t="s">
        <v>307</v>
      </c>
      <c r="I65" s="46" t="s">
        <v>155</v>
      </c>
      <c r="J65" s="46" t="s">
        <v>11</v>
      </c>
    </row>
    <row r="66" spans="1:10" ht="16.05" customHeight="1" x14ac:dyDescent="0.3">
      <c r="A66" s="46" t="s">
        <v>103</v>
      </c>
      <c r="B66" s="46" t="s">
        <v>303</v>
      </c>
      <c r="C66" s="46" t="s">
        <v>308</v>
      </c>
      <c r="D66" s="46"/>
      <c r="E66" s="46"/>
      <c r="F66" s="46"/>
      <c r="G66" s="48" t="s">
        <v>309</v>
      </c>
      <c r="H66" s="46" t="s">
        <v>310</v>
      </c>
      <c r="I66" s="46" t="s">
        <v>155</v>
      </c>
      <c r="J66" s="46" t="s">
        <v>11</v>
      </c>
    </row>
    <row r="67" spans="1:10" ht="16.05" customHeight="1" x14ac:dyDescent="0.3">
      <c r="A67" s="46" t="s">
        <v>103</v>
      </c>
      <c r="B67" s="46" t="s">
        <v>303</v>
      </c>
      <c r="C67" s="46" t="s">
        <v>311</v>
      </c>
      <c r="D67" s="46"/>
      <c r="E67" s="46"/>
      <c r="F67" s="46"/>
      <c r="G67" s="48" t="s">
        <v>312</v>
      </c>
      <c r="H67" s="46" t="s">
        <v>313</v>
      </c>
      <c r="I67" s="46" t="s">
        <v>139</v>
      </c>
      <c r="J67" s="46" t="s">
        <v>11</v>
      </c>
    </row>
    <row r="68" spans="1:10" ht="16.05" customHeight="1" x14ac:dyDescent="0.3">
      <c r="A68" s="46" t="s">
        <v>103</v>
      </c>
      <c r="B68" s="46" t="s">
        <v>303</v>
      </c>
      <c r="C68" s="46" t="s">
        <v>314</v>
      </c>
      <c r="D68" s="46"/>
      <c r="E68" s="46"/>
      <c r="F68" s="46"/>
      <c r="G68" s="48" t="s">
        <v>315</v>
      </c>
      <c r="H68" s="46" t="s">
        <v>316</v>
      </c>
      <c r="I68" s="46" t="s">
        <v>139</v>
      </c>
      <c r="J68" s="46" t="s">
        <v>11</v>
      </c>
    </row>
    <row r="69" spans="1:10" ht="16.05" customHeight="1" x14ac:dyDescent="0.3">
      <c r="A69" s="46" t="s">
        <v>103</v>
      </c>
      <c r="B69" s="46" t="s">
        <v>317</v>
      </c>
      <c r="C69" s="46"/>
      <c r="D69" s="46"/>
      <c r="E69" s="46"/>
      <c r="F69" s="46"/>
      <c r="G69" s="47" t="s">
        <v>318</v>
      </c>
      <c r="H69" s="46" t="s">
        <v>319</v>
      </c>
      <c r="I69" s="46" t="s">
        <v>139</v>
      </c>
      <c r="J69" s="46" t="s">
        <v>11</v>
      </c>
    </row>
    <row r="70" spans="1:10" ht="16.05" customHeight="1" x14ac:dyDescent="0.3">
      <c r="A70" s="46" t="s">
        <v>103</v>
      </c>
      <c r="B70" s="46" t="s">
        <v>317</v>
      </c>
      <c r="C70" s="46" t="s">
        <v>320</v>
      </c>
      <c r="D70" s="46"/>
      <c r="E70" s="46"/>
      <c r="F70" s="46"/>
      <c r="G70" s="48" t="s">
        <v>321</v>
      </c>
      <c r="H70" s="46" t="s">
        <v>322</v>
      </c>
      <c r="I70" s="46" t="s">
        <v>139</v>
      </c>
      <c r="J70" s="46" t="s">
        <v>11</v>
      </c>
    </row>
    <row r="71" spans="1:10" ht="16.05" customHeight="1" x14ac:dyDescent="0.3">
      <c r="A71" s="46" t="s">
        <v>103</v>
      </c>
      <c r="B71" s="46" t="s">
        <v>317</v>
      </c>
      <c r="C71" s="46" t="s">
        <v>323</v>
      </c>
      <c r="D71" s="46"/>
      <c r="E71" s="46"/>
      <c r="F71" s="46"/>
      <c r="G71" s="48" t="s">
        <v>324</v>
      </c>
      <c r="H71" s="46" t="s">
        <v>325</v>
      </c>
      <c r="I71" s="46" t="s">
        <v>139</v>
      </c>
      <c r="J71" s="46" t="s">
        <v>11</v>
      </c>
    </row>
    <row r="72" spans="1:10" ht="16.05" customHeight="1" x14ac:dyDescent="0.3">
      <c r="A72" s="46" t="s">
        <v>103</v>
      </c>
      <c r="B72" s="46" t="s">
        <v>326</v>
      </c>
      <c r="C72" s="46"/>
      <c r="D72" s="46"/>
      <c r="E72" s="46"/>
      <c r="F72" s="46"/>
      <c r="G72" s="47" t="s">
        <v>327</v>
      </c>
      <c r="H72" s="46" t="s">
        <v>328</v>
      </c>
      <c r="I72" s="46" t="s">
        <v>139</v>
      </c>
      <c r="J72" s="46" t="s">
        <v>11</v>
      </c>
    </row>
    <row r="73" spans="1:10" ht="16.05" customHeight="1" x14ac:dyDescent="0.3">
      <c r="A73" s="46" t="s">
        <v>103</v>
      </c>
      <c r="B73" s="46" t="s">
        <v>326</v>
      </c>
      <c r="C73" s="46" t="s">
        <v>329</v>
      </c>
      <c r="D73" s="46"/>
      <c r="E73" s="46"/>
      <c r="F73" s="46"/>
      <c r="G73" s="48" t="s">
        <v>330</v>
      </c>
      <c r="H73" s="46" t="s">
        <v>331</v>
      </c>
      <c r="I73" s="46" t="s">
        <v>139</v>
      </c>
      <c r="J73" s="46" t="s">
        <v>11</v>
      </c>
    </row>
    <row r="74" spans="1:10" ht="16.05" customHeight="1" x14ac:dyDescent="0.3">
      <c r="A74" s="46" t="s">
        <v>103</v>
      </c>
      <c r="B74" s="46" t="s">
        <v>326</v>
      </c>
      <c r="C74" s="46" t="s">
        <v>332</v>
      </c>
      <c r="D74" s="46"/>
      <c r="E74" s="46"/>
      <c r="F74" s="46"/>
      <c r="G74" s="48" t="s">
        <v>333</v>
      </c>
      <c r="H74" s="46" t="s">
        <v>334</v>
      </c>
      <c r="I74" s="46" t="s">
        <v>139</v>
      </c>
      <c r="J74" s="46" t="s">
        <v>11</v>
      </c>
    </row>
    <row r="75" spans="1:10" ht="16.05" customHeight="1" x14ac:dyDescent="0.3">
      <c r="A75" s="46" t="s">
        <v>103</v>
      </c>
      <c r="B75" s="46" t="s">
        <v>326</v>
      </c>
      <c r="C75" s="46" t="s">
        <v>335</v>
      </c>
      <c r="D75" s="46"/>
      <c r="E75" s="46"/>
      <c r="F75" s="46"/>
      <c r="G75" s="48" t="s">
        <v>336</v>
      </c>
      <c r="H75" s="46" t="s">
        <v>337</v>
      </c>
      <c r="I75" s="46" t="s">
        <v>139</v>
      </c>
      <c r="J75" s="46" t="s">
        <v>11</v>
      </c>
    </row>
    <row r="76" spans="1:10" ht="16.05" customHeight="1" x14ac:dyDescent="0.3">
      <c r="A76" s="46" t="s">
        <v>103</v>
      </c>
      <c r="B76" s="46" t="s">
        <v>338</v>
      </c>
      <c r="C76" s="46"/>
      <c r="D76" s="46"/>
      <c r="E76" s="46"/>
      <c r="F76" s="46"/>
      <c r="G76" s="47" t="s">
        <v>339</v>
      </c>
      <c r="H76" s="46" t="s">
        <v>340</v>
      </c>
      <c r="I76" s="46" t="s">
        <v>155</v>
      </c>
      <c r="J76" s="46" t="s">
        <v>11</v>
      </c>
    </row>
    <row r="77" spans="1:10" ht="16.05" customHeight="1" x14ac:dyDescent="0.3">
      <c r="A77" s="46" t="s">
        <v>103</v>
      </c>
      <c r="B77" s="46" t="s">
        <v>341</v>
      </c>
      <c r="C77" s="46"/>
      <c r="D77" s="46"/>
      <c r="E77" s="46"/>
      <c r="F77" s="46"/>
      <c r="G77" s="47" t="s">
        <v>342</v>
      </c>
      <c r="H77" s="46" t="s">
        <v>343</v>
      </c>
      <c r="I77" s="46" t="s">
        <v>139</v>
      </c>
      <c r="J77" s="46" t="s">
        <v>11</v>
      </c>
    </row>
    <row r="78" spans="1:10" ht="16.05" customHeight="1" x14ac:dyDescent="0.3">
      <c r="A78" s="46" t="s">
        <v>103</v>
      </c>
      <c r="B78" s="46" t="s">
        <v>344</v>
      </c>
      <c r="C78" s="46"/>
      <c r="D78" s="46"/>
      <c r="E78" s="46"/>
      <c r="F78" s="46"/>
      <c r="G78" s="47" t="s">
        <v>345</v>
      </c>
      <c r="H78" s="46" t="s">
        <v>346</v>
      </c>
      <c r="I78" s="46" t="s">
        <v>139</v>
      </c>
      <c r="J78" s="46" t="s">
        <v>11</v>
      </c>
    </row>
    <row r="79" spans="1:10" ht="16.05" customHeight="1" x14ac:dyDescent="0.3">
      <c r="A79" s="46" t="s">
        <v>103</v>
      </c>
      <c r="B79" s="46" t="s">
        <v>344</v>
      </c>
      <c r="C79" s="46" t="s">
        <v>347</v>
      </c>
      <c r="D79" s="46"/>
      <c r="E79" s="46"/>
      <c r="F79" s="46"/>
      <c r="G79" s="48" t="s">
        <v>348</v>
      </c>
      <c r="H79" s="46" t="s">
        <v>349</v>
      </c>
      <c r="I79" s="46" t="s">
        <v>139</v>
      </c>
      <c r="J79" s="46" t="s">
        <v>11</v>
      </c>
    </row>
    <row r="80" spans="1:10" ht="16.05" customHeight="1" x14ac:dyDescent="0.3">
      <c r="A80" s="46" t="s">
        <v>103</v>
      </c>
      <c r="B80" s="46" t="s">
        <v>344</v>
      </c>
      <c r="C80" s="46" t="s">
        <v>350</v>
      </c>
      <c r="D80" s="46"/>
      <c r="E80" s="46"/>
      <c r="F80" s="46"/>
      <c r="G80" s="48" t="s">
        <v>351</v>
      </c>
      <c r="H80" s="46" t="s">
        <v>352</v>
      </c>
      <c r="I80" s="46" t="s">
        <v>139</v>
      </c>
      <c r="J80" s="46" t="s">
        <v>11</v>
      </c>
    </row>
    <row r="81" spans="1:10" ht="16.05" customHeight="1" x14ac:dyDescent="0.3">
      <c r="A81" s="46" t="s">
        <v>103</v>
      </c>
      <c r="B81" s="46" t="s">
        <v>353</v>
      </c>
      <c r="C81" s="46"/>
      <c r="D81" s="46"/>
      <c r="E81" s="46"/>
      <c r="F81" s="46"/>
      <c r="G81" s="47" t="s">
        <v>354</v>
      </c>
      <c r="H81" s="46" t="s">
        <v>301</v>
      </c>
      <c r="I81" s="46" t="s">
        <v>155</v>
      </c>
      <c r="J81" s="46" t="s">
        <v>11</v>
      </c>
    </row>
    <row r="82" spans="1:10" ht="16.05" customHeight="1" x14ac:dyDescent="0.3">
      <c r="A82" s="132" t="s">
        <v>355</v>
      </c>
      <c r="B82" s="122"/>
      <c r="C82" s="122"/>
      <c r="D82" s="122"/>
      <c r="E82" s="122"/>
      <c r="F82" s="122"/>
      <c r="G82" s="122"/>
      <c r="H82" s="122"/>
      <c r="I82" s="122"/>
      <c r="J82" s="123"/>
    </row>
    <row r="83" spans="1:10" ht="16.05" customHeight="1" x14ac:dyDescent="0.3">
      <c r="A83" s="49" t="s">
        <v>114</v>
      </c>
      <c r="B83" s="49" t="s">
        <v>356</v>
      </c>
      <c r="C83" s="49"/>
      <c r="D83" s="49"/>
      <c r="E83" s="49"/>
      <c r="F83" s="49"/>
      <c r="G83" s="50" t="s">
        <v>357</v>
      </c>
      <c r="H83" s="49" t="s">
        <v>358</v>
      </c>
      <c r="I83" s="49" t="s">
        <v>139</v>
      </c>
      <c r="J83" s="49" t="s">
        <v>117</v>
      </c>
    </row>
    <row r="84" spans="1:10" ht="16.05" customHeight="1" x14ac:dyDescent="0.3">
      <c r="A84" s="49" t="s">
        <v>114</v>
      </c>
      <c r="B84" s="49" t="s">
        <v>356</v>
      </c>
      <c r="C84" s="49" t="s">
        <v>115</v>
      </c>
      <c r="D84" s="49"/>
      <c r="E84" s="49"/>
      <c r="F84" s="49"/>
      <c r="G84" s="51" t="s">
        <v>357</v>
      </c>
      <c r="H84" s="49" t="s">
        <v>359</v>
      </c>
      <c r="I84" s="49" t="s">
        <v>139</v>
      </c>
      <c r="J84" s="49" t="s">
        <v>117</v>
      </c>
    </row>
    <row r="85" spans="1:10" ht="16.05" customHeight="1" x14ac:dyDescent="0.3">
      <c r="A85" s="49" t="s">
        <v>114</v>
      </c>
      <c r="B85" s="49" t="s">
        <v>356</v>
      </c>
      <c r="C85" s="49" t="s">
        <v>360</v>
      </c>
      <c r="D85" s="49"/>
      <c r="E85" s="49"/>
      <c r="F85" s="49"/>
      <c r="G85" s="51" t="s">
        <v>361</v>
      </c>
      <c r="H85" s="49" t="s">
        <v>362</v>
      </c>
      <c r="I85" s="49" t="s">
        <v>155</v>
      </c>
      <c r="J85" s="49" t="s">
        <v>117</v>
      </c>
    </row>
    <row r="86" spans="1:10" ht="16.05" customHeight="1" x14ac:dyDescent="0.3">
      <c r="A86" s="49" t="s">
        <v>114</v>
      </c>
      <c r="B86" s="49" t="s">
        <v>363</v>
      </c>
      <c r="C86" s="49"/>
      <c r="D86" s="49"/>
      <c r="E86" s="49"/>
      <c r="F86" s="49"/>
      <c r="G86" s="50" t="s">
        <v>364</v>
      </c>
      <c r="H86" s="49" t="s">
        <v>365</v>
      </c>
      <c r="I86" s="49" t="s">
        <v>139</v>
      </c>
      <c r="J86" s="49" t="s">
        <v>117</v>
      </c>
    </row>
    <row r="87" spans="1:10" ht="16.05" customHeight="1" x14ac:dyDescent="0.3">
      <c r="A87" s="49" t="s">
        <v>114</v>
      </c>
      <c r="B87" s="49" t="s">
        <v>363</v>
      </c>
      <c r="C87" s="49" t="s">
        <v>366</v>
      </c>
      <c r="D87" s="49"/>
      <c r="E87" s="49"/>
      <c r="F87" s="49"/>
      <c r="G87" s="51" t="s">
        <v>364</v>
      </c>
      <c r="H87" s="49" t="s">
        <v>367</v>
      </c>
      <c r="I87" s="49" t="s">
        <v>139</v>
      </c>
      <c r="J87" s="49" t="s">
        <v>117</v>
      </c>
    </row>
    <row r="88" spans="1:10" ht="16.05" customHeight="1" x14ac:dyDescent="0.3">
      <c r="A88" s="49" t="s">
        <v>114</v>
      </c>
      <c r="B88" s="49" t="s">
        <v>368</v>
      </c>
      <c r="C88" s="49"/>
      <c r="D88" s="49"/>
      <c r="E88" s="49"/>
      <c r="F88" s="49"/>
      <c r="G88" s="50" t="s">
        <v>369</v>
      </c>
      <c r="H88" s="49" t="s">
        <v>370</v>
      </c>
      <c r="I88" s="49" t="s">
        <v>139</v>
      </c>
      <c r="J88" s="49" t="s">
        <v>117</v>
      </c>
    </row>
    <row r="89" spans="1:10" ht="16.05" customHeight="1" x14ac:dyDescent="0.3">
      <c r="A89" s="49" t="s">
        <v>114</v>
      </c>
      <c r="B89" s="49" t="s">
        <v>368</v>
      </c>
      <c r="C89" s="49" t="s">
        <v>371</v>
      </c>
      <c r="D89" s="49"/>
      <c r="E89" s="49"/>
      <c r="F89" s="49"/>
      <c r="G89" s="51" t="s">
        <v>369</v>
      </c>
      <c r="H89" s="49" t="s">
        <v>372</v>
      </c>
      <c r="I89" s="49" t="s">
        <v>139</v>
      </c>
      <c r="J89" s="49" t="s">
        <v>117</v>
      </c>
    </row>
    <row r="90" spans="1:10" ht="16.05" customHeight="1" x14ac:dyDescent="0.3">
      <c r="A90" s="49" t="s">
        <v>114</v>
      </c>
      <c r="B90" s="49" t="s">
        <v>373</v>
      </c>
      <c r="C90" s="49"/>
      <c r="D90" s="49"/>
      <c r="E90" s="49"/>
      <c r="F90" s="49"/>
      <c r="G90" s="50" t="s">
        <v>374</v>
      </c>
      <c r="H90" s="49" t="s">
        <v>375</v>
      </c>
      <c r="I90" s="49" t="s">
        <v>139</v>
      </c>
      <c r="J90" s="49" t="s">
        <v>117</v>
      </c>
    </row>
    <row r="91" spans="1:10" ht="16.05" customHeight="1" x14ac:dyDescent="0.3">
      <c r="A91" s="49" t="s">
        <v>114</v>
      </c>
      <c r="B91" s="49" t="s">
        <v>376</v>
      </c>
      <c r="C91" s="49"/>
      <c r="D91" s="49"/>
      <c r="E91" s="49"/>
      <c r="F91" s="49"/>
      <c r="G91" s="50" t="s">
        <v>330</v>
      </c>
      <c r="H91" s="49" t="s">
        <v>377</v>
      </c>
      <c r="I91" s="49" t="s">
        <v>139</v>
      </c>
      <c r="J91" s="49" t="s">
        <v>117</v>
      </c>
    </row>
    <row r="92" spans="1:10" ht="16.05" customHeight="1" x14ac:dyDescent="0.3">
      <c r="A92" s="49" t="s">
        <v>114</v>
      </c>
      <c r="B92" s="49" t="s">
        <v>378</v>
      </c>
      <c r="C92" s="49"/>
      <c r="D92" s="49"/>
      <c r="E92" s="49"/>
      <c r="F92" s="49"/>
      <c r="G92" s="50" t="s">
        <v>333</v>
      </c>
      <c r="H92" s="49" t="s">
        <v>379</v>
      </c>
      <c r="I92" s="49" t="s">
        <v>139</v>
      </c>
      <c r="J92" s="49" t="s">
        <v>117</v>
      </c>
    </row>
    <row r="93" spans="1:10" ht="16.05" customHeight="1" x14ac:dyDescent="0.3">
      <c r="A93" s="49" t="s">
        <v>114</v>
      </c>
      <c r="B93" s="49" t="s">
        <v>380</v>
      </c>
      <c r="C93" s="49"/>
      <c r="D93" s="49"/>
      <c r="E93" s="49"/>
      <c r="F93" s="49"/>
      <c r="G93" s="50" t="s">
        <v>336</v>
      </c>
      <c r="H93" s="49" t="s">
        <v>381</v>
      </c>
      <c r="I93" s="49" t="s">
        <v>139</v>
      </c>
      <c r="J93" s="49" t="s">
        <v>117</v>
      </c>
    </row>
    <row r="94" spans="1:10" ht="16.05" customHeight="1" x14ac:dyDescent="0.3">
      <c r="A94" s="49" t="s">
        <v>114</v>
      </c>
      <c r="B94" s="49" t="s">
        <v>382</v>
      </c>
      <c r="C94" s="49"/>
      <c r="D94" s="49"/>
      <c r="E94" s="49"/>
      <c r="F94" s="49"/>
      <c r="G94" s="50" t="s">
        <v>345</v>
      </c>
      <c r="H94" s="49" t="s">
        <v>383</v>
      </c>
      <c r="I94" s="49" t="s">
        <v>139</v>
      </c>
      <c r="J94" s="49" t="s">
        <v>117</v>
      </c>
    </row>
    <row r="95" spans="1:10" ht="16.05" customHeight="1" x14ac:dyDescent="0.3">
      <c r="A95" s="49" t="s">
        <v>114</v>
      </c>
      <c r="B95" s="49" t="s">
        <v>384</v>
      </c>
      <c r="C95" s="49"/>
      <c r="D95" s="49"/>
      <c r="E95" s="49"/>
      <c r="F95" s="49"/>
      <c r="G95" s="50" t="s">
        <v>385</v>
      </c>
      <c r="H95" s="49" t="s">
        <v>386</v>
      </c>
      <c r="I95" s="49" t="s">
        <v>155</v>
      </c>
      <c r="J95" s="49" t="s">
        <v>117</v>
      </c>
    </row>
    <row r="96" spans="1:10" ht="16.05" customHeight="1" x14ac:dyDescent="0.3">
      <c r="A96" s="130" t="s">
        <v>387</v>
      </c>
      <c r="B96" s="122"/>
      <c r="C96" s="122"/>
      <c r="D96" s="122"/>
      <c r="E96" s="122"/>
      <c r="F96" s="122"/>
      <c r="G96" s="122"/>
      <c r="H96" s="122"/>
      <c r="I96" s="122"/>
      <c r="J96" s="123"/>
    </row>
    <row r="97" spans="1:10" ht="16.05" customHeight="1" x14ac:dyDescent="0.3">
      <c r="A97" s="126" t="s">
        <v>388</v>
      </c>
      <c r="B97" s="122"/>
      <c r="C97" s="122"/>
      <c r="D97" s="122"/>
      <c r="E97" s="122"/>
      <c r="F97" s="122"/>
      <c r="G97" s="122"/>
      <c r="H97" s="122"/>
      <c r="I97" s="122"/>
      <c r="J97" s="123"/>
    </row>
    <row r="98" spans="1:10" ht="16.05" customHeight="1" x14ac:dyDescent="0.3">
      <c r="A98" s="52" t="s">
        <v>389</v>
      </c>
      <c r="B98" s="52" t="s">
        <v>390</v>
      </c>
      <c r="C98" s="52"/>
      <c r="D98" s="52"/>
      <c r="E98" s="52"/>
      <c r="F98" s="52"/>
      <c r="G98" s="53" t="s">
        <v>391</v>
      </c>
      <c r="H98" s="52" t="s">
        <v>392</v>
      </c>
      <c r="I98" s="52" t="s">
        <v>139</v>
      </c>
      <c r="J98" s="52" t="s">
        <v>393</v>
      </c>
    </row>
    <row r="99" spans="1:10" ht="16.05" customHeight="1" x14ac:dyDescent="0.3">
      <c r="A99" s="52" t="s">
        <v>389</v>
      </c>
      <c r="B99" s="52" t="s">
        <v>394</v>
      </c>
      <c r="C99" s="52"/>
      <c r="D99" s="52"/>
      <c r="E99" s="52"/>
      <c r="F99" s="52"/>
      <c r="G99" s="53" t="s">
        <v>395</v>
      </c>
      <c r="H99" s="52" t="s">
        <v>396</v>
      </c>
      <c r="I99" s="52" t="s">
        <v>155</v>
      </c>
      <c r="J99" s="52" t="s">
        <v>393</v>
      </c>
    </row>
  </sheetData>
  <autoFilter ref="A3:J3" xr:uid="{00000000-0009-0000-0000-000002000000}"/>
  <mergeCells count="10">
    <mergeCell ref="A1:J1"/>
    <mergeCell ref="A97:J97"/>
    <mergeCell ref="A40:J40"/>
    <mergeCell ref="A55:J55"/>
    <mergeCell ref="A4:J4"/>
    <mergeCell ref="A96:J96"/>
    <mergeCell ref="A52:J52"/>
    <mergeCell ref="A82:J82"/>
    <mergeCell ref="A28:J28"/>
    <mergeCell ref="A63:J6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35" customWidth="1"/>
    <col min="3" max="3" width="25" customWidth="1"/>
    <col min="4" max="6" width="18" customWidth="1"/>
    <col min="7" max="7" width="14" customWidth="1"/>
    <col min="8" max="8" width="20" customWidth="1"/>
  </cols>
  <sheetData>
    <row r="1" spans="1:8" ht="36" customHeight="1" x14ac:dyDescent="0.3">
      <c r="A1" s="125" t="s">
        <v>397</v>
      </c>
      <c r="B1" s="121"/>
      <c r="C1" s="121"/>
      <c r="D1" s="121"/>
      <c r="E1" s="121"/>
      <c r="F1" s="121"/>
      <c r="G1" s="121"/>
      <c r="H1" s="121"/>
    </row>
    <row r="3" spans="1:8" ht="36" customHeight="1" x14ac:dyDescent="0.3">
      <c r="A3" s="13" t="s">
        <v>398</v>
      </c>
      <c r="B3" s="13" t="s">
        <v>399</v>
      </c>
      <c r="C3" s="13" t="s">
        <v>400</v>
      </c>
      <c r="D3" s="54" t="s">
        <v>401</v>
      </c>
      <c r="E3" s="54" t="s">
        <v>402</v>
      </c>
      <c r="F3" s="54" t="s">
        <v>403</v>
      </c>
      <c r="G3" s="54" t="s">
        <v>404</v>
      </c>
      <c r="H3" s="54" t="s">
        <v>405</v>
      </c>
    </row>
    <row r="4" spans="1:8" ht="7.95" customHeight="1" x14ac:dyDescent="0.3"/>
    <row r="5" spans="1:8" ht="18" customHeight="1" x14ac:dyDescent="0.3">
      <c r="A5" s="134" t="s">
        <v>406</v>
      </c>
      <c r="B5" s="122"/>
      <c r="C5" s="122"/>
      <c r="D5" s="122"/>
      <c r="E5" s="122"/>
      <c r="F5" s="122"/>
      <c r="G5" s="122"/>
      <c r="H5" s="123"/>
    </row>
    <row r="6" spans="1:8" ht="18" customHeight="1" x14ac:dyDescent="0.3">
      <c r="A6" s="135" t="s">
        <v>407</v>
      </c>
      <c r="B6" s="122"/>
      <c r="C6" s="122"/>
      <c r="D6" s="122"/>
      <c r="E6" s="122"/>
      <c r="F6" s="122"/>
      <c r="G6" s="122"/>
      <c r="H6" s="123"/>
    </row>
    <row r="7" spans="1:8" ht="18" customHeight="1" x14ac:dyDescent="0.3">
      <c r="A7" s="56" t="s">
        <v>408</v>
      </c>
      <c r="B7" s="57" t="s">
        <v>409</v>
      </c>
      <c r="C7" s="57" t="s">
        <v>410</v>
      </c>
      <c r="D7" s="58">
        <v>0</v>
      </c>
      <c r="E7" s="58">
        <v>0</v>
      </c>
      <c r="F7" s="58">
        <v>0</v>
      </c>
      <c r="G7" s="59" t="str">
        <f t="shared" ref="G7:G14" si="0">IF(E7&lt;&gt;0,(D7-E7)/ABS(E7),"")</f>
        <v/>
      </c>
      <c r="H7" s="60"/>
    </row>
    <row r="8" spans="1:8" ht="18" customHeight="1" x14ac:dyDescent="0.3">
      <c r="A8" s="61" t="s">
        <v>411</v>
      </c>
      <c r="B8" s="62" t="s">
        <v>412</v>
      </c>
      <c r="C8" s="62" t="s">
        <v>413</v>
      </c>
      <c r="D8" s="63">
        <v>0</v>
      </c>
      <c r="E8" s="63">
        <v>0</v>
      </c>
      <c r="F8" s="63">
        <v>0</v>
      </c>
      <c r="G8" s="64" t="str">
        <f t="shared" si="0"/>
        <v/>
      </c>
      <c r="H8" s="65"/>
    </row>
    <row r="9" spans="1:8" ht="18" customHeight="1" x14ac:dyDescent="0.3">
      <c r="A9" s="56" t="s">
        <v>414</v>
      </c>
      <c r="B9" s="57" t="s">
        <v>415</v>
      </c>
      <c r="C9" s="57" t="s">
        <v>416</v>
      </c>
      <c r="D9" s="58">
        <v>0</v>
      </c>
      <c r="E9" s="58">
        <v>0</v>
      </c>
      <c r="F9" s="58">
        <v>0</v>
      </c>
      <c r="G9" s="59" t="str">
        <f t="shared" si="0"/>
        <v/>
      </c>
      <c r="H9" s="60"/>
    </row>
    <row r="10" spans="1:8" ht="18" customHeight="1" x14ac:dyDescent="0.3">
      <c r="A10" s="61" t="s">
        <v>417</v>
      </c>
      <c r="B10" s="62" t="s">
        <v>418</v>
      </c>
      <c r="C10" s="62" t="s">
        <v>419</v>
      </c>
      <c r="D10" s="63">
        <v>0</v>
      </c>
      <c r="E10" s="63">
        <v>0</v>
      </c>
      <c r="F10" s="63">
        <v>0</v>
      </c>
      <c r="G10" s="64" t="str">
        <f t="shared" si="0"/>
        <v/>
      </c>
      <c r="H10" s="65"/>
    </row>
    <row r="11" spans="1:8" ht="18" customHeight="1" x14ac:dyDescent="0.3">
      <c r="A11" s="56" t="s">
        <v>420</v>
      </c>
      <c r="B11" s="57" t="s">
        <v>421</v>
      </c>
      <c r="C11" s="57" t="s">
        <v>422</v>
      </c>
      <c r="D11" s="58">
        <v>0</v>
      </c>
      <c r="E11" s="58">
        <v>0</v>
      </c>
      <c r="F11" s="58">
        <v>0</v>
      </c>
      <c r="G11" s="59" t="str">
        <f t="shared" si="0"/>
        <v/>
      </c>
      <c r="H11" s="60"/>
    </row>
    <row r="12" spans="1:8" ht="18" customHeight="1" x14ac:dyDescent="0.3">
      <c r="A12" s="61" t="s">
        <v>423</v>
      </c>
      <c r="B12" s="62" t="s">
        <v>424</v>
      </c>
      <c r="C12" s="62" t="s">
        <v>425</v>
      </c>
      <c r="D12" s="63">
        <v>0</v>
      </c>
      <c r="E12" s="63">
        <v>0</v>
      </c>
      <c r="F12" s="63">
        <v>0</v>
      </c>
      <c r="G12" s="64" t="str">
        <f t="shared" si="0"/>
        <v/>
      </c>
      <c r="H12" s="65"/>
    </row>
    <row r="13" spans="1:8" ht="18" customHeight="1" x14ac:dyDescent="0.3">
      <c r="A13" s="56" t="s">
        <v>426</v>
      </c>
      <c r="B13" s="57" t="s">
        <v>427</v>
      </c>
      <c r="C13" s="57" t="s">
        <v>428</v>
      </c>
      <c r="D13" s="58">
        <v>0</v>
      </c>
      <c r="E13" s="58">
        <v>0</v>
      </c>
      <c r="F13" s="58">
        <v>0</v>
      </c>
      <c r="G13" s="59" t="str">
        <f t="shared" si="0"/>
        <v/>
      </c>
      <c r="H13" s="60"/>
    </row>
    <row r="14" spans="1:8" ht="18" customHeight="1" x14ac:dyDescent="0.3">
      <c r="A14" s="61" t="s">
        <v>429</v>
      </c>
      <c r="B14" s="62" t="s">
        <v>430</v>
      </c>
      <c r="C14" s="62" t="s">
        <v>431</v>
      </c>
      <c r="D14" s="63">
        <v>0</v>
      </c>
      <c r="E14" s="63">
        <v>0</v>
      </c>
      <c r="F14" s="63">
        <v>0</v>
      </c>
      <c r="G14" s="64" t="str">
        <f t="shared" si="0"/>
        <v/>
      </c>
      <c r="H14" s="65"/>
    </row>
    <row r="15" spans="1:8" ht="18" customHeight="1" x14ac:dyDescent="0.3">
      <c r="A15" s="66" t="s">
        <v>432</v>
      </c>
      <c r="B15" s="66" t="s">
        <v>433</v>
      </c>
      <c r="C15" s="66"/>
      <c r="D15" s="67">
        <v>0</v>
      </c>
      <c r="E15" s="67">
        <v>0</v>
      </c>
      <c r="F15" s="67">
        <v>0</v>
      </c>
      <c r="G15" s="67">
        <v>0</v>
      </c>
      <c r="H15" s="68"/>
    </row>
    <row r="16" spans="1:8" ht="7.95" customHeight="1" x14ac:dyDescent="0.3"/>
    <row r="17" spans="1:8" ht="18" customHeight="1" x14ac:dyDescent="0.3">
      <c r="A17" s="135" t="s">
        <v>434</v>
      </c>
      <c r="B17" s="122"/>
      <c r="C17" s="122"/>
      <c r="D17" s="122"/>
      <c r="E17" s="122"/>
      <c r="F17" s="122"/>
      <c r="G17" s="122"/>
      <c r="H17" s="123"/>
    </row>
    <row r="18" spans="1:8" ht="18" customHeight="1" x14ac:dyDescent="0.3">
      <c r="A18" s="61" t="s">
        <v>435</v>
      </c>
      <c r="B18" s="62" t="s">
        <v>415</v>
      </c>
      <c r="C18" s="62" t="s">
        <v>436</v>
      </c>
      <c r="D18" s="63">
        <v>0</v>
      </c>
      <c r="E18" s="63">
        <v>0</v>
      </c>
      <c r="F18" s="63">
        <v>0</v>
      </c>
      <c r="G18" s="64" t="str">
        <f t="shared" ref="G18:G25" si="1">IF(E18&lt;&gt;0,(D18-E18)/ABS(E18),"")</f>
        <v/>
      </c>
      <c r="H18" s="65"/>
    </row>
    <row r="19" spans="1:8" ht="18" customHeight="1" x14ac:dyDescent="0.3">
      <c r="A19" s="56" t="s">
        <v>437</v>
      </c>
      <c r="B19" s="57" t="s">
        <v>418</v>
      </c>
      <c r="C19" s="57" t="s">
        <v>438</v>
      </c>
      <c r="D19" s="58">
        <v>0</v>
      </c>
      <c r="E19" s="58">
        <v>0</v>
      </c>
      <c r="F19" s="58">
        <v>0</v>
      </c>
      <c r="G19" s="59" t="str">
        <f t="shared" si="1"/>
        <v/>
      </c>
      <c r="H19" s="60"/>
    </row>
    <row r="20" spans="1:8" ht="18" customHeight="1" x14ac:dyDescent="0.3">
      <c r="A20" s="61" t="s">
        <v>439</v>
      </c>
      <c r="B20" s="62" t="s">
        <v>440</v>
      </c>
      <c r="C20" s="62" t="s">
        <v>441</v>
      </c>
      <c r="D20" s="63">
        <v>0</v>
      </c>
      <c r="E20" s="63">
        <v>0</v>
      </c>
      <c r="F20" s="63">
        <v>0</v>
      </c>
      <c r="G20" s="64" t="str">
        <f t="shared" si="1"/>
        <v/>
      </c>
      <c r="H20" s="65"/>
    </row>
    <row r="21" spans="1:8" ht="18" customHeight="1" x14ac:dyDescent="0.3">
      <c r="A21" s="56" t="s">
        <v>442</v>
      </c>
      <c r="B21" s="57" t="s">
        <v>443</v>
      </c>
      <c r="C21" s="57" t="s">
        <v>444</v>
      </c>
      <c r="D21" s="58">
        <v>0</v>
      </c>
      <c r="E21" s="58">
        <v>0</v>
      </c>
      <c r="F21" s="58">
        <v>0</v>
      </c>
      <c r="G21" s="59" t="str">
        <f t="shared" si="1"/>
        <v/>
      </c>
      <c r="H21" s="60"/>
    </row>
    <row r="22" spans="1:8" ht="18" customHeight="1" x14ac:dyDescent="0.3">
      <c r="A22" s="61" t="s">
        <v>445</v>
      </c>
      <c r="B22" s="62" t="s">
        <v>446</v>
      </c>
      <c r="C22" s="62" t="s">
        <v>447</v>
      </c>
      <c r="D22" s="63">
        <v>0</v>
      </c>
      <c r="E22" s="63">
        <v>0</v>
      </c>
      <c r="F22" s="63">
        <v>0</v>
      </c>
      <c r="G22" s="64" t="str">
        <f t="shared" si="1"/>
        <v/>
      </c>
      <c r="H22" s="65"/>
    </row>
    <row r="23" spans="1:8" ht="18" customHeight="1" x14ac:dyDescent="0.3">
      <c r="A23" s="56" t="s">
        <v>448</v>
      </c>
      <c r="B23" s="57" t="s">
        <v>449</v>
      </c>
      <c r="C23" s="57" t="s">
        <v>450</v>
      </c>
      <c r="D23" s="58">
        <v>0</v>
      </c>
      <c r="E23" s="58">
        <v>0</v>
      </c>
      <c r="F23" s="58">
        <v>0</v>
      </c>
      <c r="G23" s="59" t="str">
        <f t="shared" si="1"/>
        <v/>
      </c>
      <c r="H23" s="60"/>
    </row>
    <row r="24" spans="1:8" ht="18" customHeight="1" x14ac:dyDescent="0.3">
      <c r="A24" s="61" t="s">
        <v>451</v>
      </c>
      <c r="B24" s="62" t="s">
        <v>452</v>
      </c>
      <c r="C24" s="62" t="s">
        <v>453</v>
      </c>
      <c r="D24" s="63">
        <v>0</v>
      </c>
      <c r="E24" s="63">
        <v>0</v>
      </c>
      <c r="F24" s="63">
        <v>0</v>
      </c>
      <c r="G24" s="64" t="str">
        <f t="shared" si="1"/>
        <v/>
      </c>
      <c r="H24" s="65"/>
    </row>
    <row r="25" spans="1:8" ht="18" customHeight="1" x14ac:dyDescent="0.3">
      <c r="A25" s="56" t="s">
        <v>454</v>
      </c>
      <c r="B25" s="57" t="s">
        <v>455</v>
      </c>
      <c r="C25" s="57" t="s">
        <v>456</v>
      </c>
      <c r="D25" s="58">
        <v>0</v>
      </c>
      <c r="E25" s="58">
        <v>0</v>
      </c>
      <c r="F25" s="58">
        <v>0</v>
      </c>
      <c r="G25" s="59" t="str">
        <f t="shared" si="1"/>
        <v/>
      </c>
      <c r="H25" s="60"/>
    </row>
    <row r="26" spans="1:8" ht="18" customHeight="1" x14ac:dyDescent="0.3">
      <c r="A26" s="66" t="s">
        <v>457</v>
      </c>
      <c r="B26" s="66" t="s">
        <v>458</v>
      </c>
      <c r="C26" s="66"/>
      <c r="D26" s="67">
        <v>0</v>
      </c>
      <c r="E26" s="67">
        <v>0</v>
      </c>
      <c r="F26" s="67">
        <v>0</v>
      </c>
      <c r="G26" s="67">
        <v>0</v>
      </c>
      <c r="H26" s="68"/>
    </row>
    <row r="27" spans="1:8" ht="7.95" customHeight="1" x14ac:dyDescent="0.3"/>
    <row r="28" spans="1:8" ht="18" customHeight="1" x14ac:dyDescent="0.3">
      <c r="A28" s="55" t="s">
        <v>459</v>
      </c>
      <c r="B28" s="55" t="s">
        <v>460</v>
      </c>
      <c r="C28" s="55"/>
      <c r="D28" s="69">
        <v>0</v>
      </c>
      <c r="E28" s="69">
        <v>0</v>
      </c>
      <c r="F28" s="69">
        <v>0</v>
      </c>
      <c r="G28" s="69">
        <v>0</v>
      </c>
      <c r="H28" s="70"/>
    </row>
    <row r="29" spans="1:8" ht="7.95" customHeight="1" x14ac:dyDescent="0.3"/>
    <row r="30" spans="1:8" ht="18" customHeight="1" x14ac:dyDescent="0.3">
      <c r="A30" s="134" t="s">
        <v>461</v>
      </c>
      <c r="B30" s="122"/>
      <c r="C30" s="122"/>
      <c r="D30" s="122"/>
      <c r="E30" s="122"/>
      <c r="F30" s="122"/>
      <c r="G30" s="122"/>
      <c r="H30" s="123"/>
    </row>
    <row r="31" spans="1:8" ht="18" customHeight="1" x14ac:dyDescent="0.3">
      <c r="A31" s="135" t="s">
        <v>462</v>
      </c>
      <c r="B31" s="122"/>
      <c r="C31" s="122"/>
      <c r="D31" s="122"/>
      <c r="E31" s="122"/>
      <c r="F31" s="122"/>
      <c r="G31" s="122"/>
      <c r="H31" s="123"/>
    </row>
    <row r="32" spans="1:8" ht="18" customHeight="1" x14ac:dyDescent="0.3">
      <c r="A32" s="61" t="s">
        <v>463</v>
      </c>
      <c r="B32" s="62" t="s">
        <v>464</v>
      </c>
      <c r="C32" s="62" t="s">
        <v>465</v>
      </c>
      <c r="D32" s="63">
        <v>0</v>
      </c>
      <c r="E32" s="63">
        <v>0</v>
      </c>
      <c r="F32" s="63">
        <v>0</v>
      </c>
      <c r="G32" s="64" t="str">
        <f t="shared" ref="G32:G40" si="2">IF(E32&lt;&gt;0,(D32-E32)/ABS(E32),"")</f>
        <v/>
      </c>
      <c r="H32" s="65"/>
    </row>
    <row r="33" spans="1:8" ht="18" customHeight="1" x14ac:dyDescent="0.3">
      <c r="A33" s="56" t="s">
        <v>466</v>
      </c>
      <c r="B33" s="57" t="s">
        <v>467</v>
      </c>
      <c r="C33" s="57" t="s">
        <v>468</v>
      </c>
      <c r="D33" s="58">
        <v>0</v>
      </c>
      <c r="E33" s="58">
        <v>0</v>
      </c>
      <c r="F33" s="58">
        <v>0</v>
      </c>
      <c r="G33" s="59" t="str">
        <f t="shared" si="2"/>
        <v/>
      </c>
      <c r="H33" s="60"/>
    </row>
    <row r="34" spans="1:8" ht="18" customHeight="1" x14ac:dyDescent="0.3">
      <c r="A34" s="61" t="s">
        <v>469</v>
      </c>
      <c r="B34" s="62" t="s">
        <v>470</v>
      </c>
      <c r="C34" s="62" t="s">
        <v>471</v>
      </c>
      <c r="D34" s="63">
        <v>0</v>
      </c>
      <c r="E34" s="63">
        <v>0</v>
      </c>
      <c r="F34" s="63">
        <v>0</v>
      </c>
      <c r="G34" s="64" t="str">
        <f t="shared" si="2"/>
        <v/>
      </c>
      <c r="H34" s="65"/>
    </row>
    <row r="35" spans="1:8" ht="18" customHeight="1" x14ac:dyDescent="0.3">
      <c r="A35" s="56" t="s">
        <v>472</v>
      </c>
      <c r="B35" s="57" t="s">
        <v>473</v>
      </c>
      <c r="C35" s="57" t="s">
        <v>474</v>
      </c>
      <c r="D35" s="58">
        <v>0</v>
      </c>
      <c r="E35" s="58">
        <v>0</v>
      </c>
      <c r="F35" s="58">
        <v>0</v>
      </c>
      <c r="G35" s="59" t="str">
        <f t="shared" si="2"/>
        <v/>
      </c>
      <c r="H35" s="60"/>
    </row>
    <row r="36" spans="1:8" ht="18" customHeight="1" x14ac:dyDescent="0.3">
      <c r="A36" s="61" t="s">
        <v>475</v>
      </c>
      <c r="B36" s="62" t="s">
        <v>476</v>
      </c>
      <c r="C36" s="62" t="s">
        <v>477</v>
      </c>
      <c r="D36" s="63">
        <v>0</v>
      </c>
      <c r="E36" s="63">
        <v>0</v>
      </c>
      <c r="F36" s="63">
        <v>0</v>
      </c>
      <c r="G36" s="64" t="str">
        <f t="shared" si="2"/>
        <v/>
      </c>
      <c r="H36" s="65"/>
    </row>
    <row r="37" spans="1:8" ht="18" customHeight="1" x14ac:dyDescent="0.3">
      <c r="A37" s="56" t="s">
        <v>478</v>
      </c>
      <c r="B37" s="57" t="s">
        <v>479</v>
      </c>
      <c r="C37" s="57" t="s">
        <v>480</v>
      </c>
      <c r="D37" s="58">
        <v>0</v>
      </c>
      <c r="E37" s="58">
        <v>0</v>
      </c>
      <c r="F37" s="58">
        <v>0</v>
      </c>
      <c r="G37" s="59" t="str">
        <f t="shared" si="2"/>
        <v/>
      </c>
      <c r="H37" s="60"/>
    </row>
    <row r="38" spans="1:8" ht="18" customHeight="1" x14ac:dyDescent="0.3">
      <c r="A38" s="61" t="s">
        <v>481</v>
      </c>
      <c r="B38" s="62" t="s">
        <v>482</v>
      </c>
      <c r="C38" s="62" t="s">
        <v>483</v>
      </c>
      <c r="D38" s="63">
        <v>0</v>
      </c>
      <c r="E38" s="63">
        <v>0</v>
      </c>
      <c r="F38" s="63">
        <v>0</v>
      </c>
      <c r="G38" s="64" t="str">
        <f t="shared" si="2"/>
        <v/>
      </c>
      <c r="H38" s="65"/>
    </row>
    <row r="39" spans="1:8" ht="18" customHeight="1" x14ac:dyDescent="0.3">
      <c r="A39" s="56" t="s">
        <v>484</v>
      </c>
      <c r="B39" s="57" t="s">
        <v>485</v>
      </c>
      <c r="C39" s="57" t="s">
        <v>486</v>
      </c>
      <c r="D39" s="58">
        <v>0</v>
      </c>
      <c r="E39" s="58">
        <v>0</v>
      </c>
      <c r="F39" s="58">
        <v>0</v>
      </c>
      <c r="G39" s="59" t="str">
        <f t="shared" si="2"/>
        <v/>
      </c>
      <c r="H39" s="60"/>
    </row>
    <row r="40" spans="1:8" ht="18" customHeight="1" x14ac:dyDescent="0.3">
      <c r="A40" s="61" t="s">
        <v>487</v>
      </c>
      <c r="B40" s="62" t="s">
        <v>488</v>
      </c>
      <c r="C40" s="62" t="s">
        <v>489</v>
      </c>
      <c r="D40" s="63">
        <v>0</v>
      </c>
      <c r="E40" s="63">
        <v>0</v>
      </c>
      <c r="F40" s="63">
        <v>0</v>
      </c>
      <c r="G40" s="64" t="str">
        <f t="shared" si="2"/>
        <v/>
      </c>
      <c r="H40" s="65"/>
    </row>
    <row r="41" spans="1:8" ht="18" customHeight="1" x14ac:dyDescent="0.3">
      <c r="A41" s="66" t="s">
        <v>490</v>
      </c>
      <c r="B41" s="66" t="s">
        <v>491</v>
      </c>
      <c r="C41" s="66"/>
      <c r="D41" s="67">
        <v>0</v>
      </c>
      <c r="E41" s="67">
        <v>0</v>
      </c>
      <c r="F41" s="67">
        <v>0</v>
      </c>
      <c r="G41" s="67">
        <v>0</v>
      </c>
      <c r="H41" s="68"/>
    </row>
    <row r="42" spans="1:8" ht="7.95" customHeight="1" x14ac:dyDescent="0.3"/>
    <row r="43" spans="1:8" ht="18" customHeight="1" x14ac:dyDescent="0.3">
      <c r="A43" s="135" t="s">
        <v>492</v>
      </c>
      <c r="B43" s="122"/>
      <c r="C43" s="122"/>
      <c r="D43" s="122"/>
      <c r="E43" s="122"/>
      <c r="F43" s="122"/>
      <c r="G43" s="122"/>
      <c r="H43" s="123"/>
    </row>
    <row r="44" spans="1:8" ht="18" customHeight="1" x14ac:dyDescent="0.3">
      <c r="A44" s="61" t="s">
        <v>493</v>
      </c>
      <c r="B44" s="62" t="s">
        <v>464</v>
      </c>
      <c r="C44" s="62" t="s">
        <v>494</v>
      </c>
      <c r="D44" s="63">
        <v>0</v>
      </c>
      <c r="E44" s="63">
        <v>0</v>
      </c>
      <c r="F44" s="63">
        <v>0</v>
      </c>
      <c r="G44" s="64" t="str">
        <f t="shared" ref="G44:G50" si="3">IF(E44&lt;&gt;0,(D44-E44)/ABS(E44),"")</f>
        <v/>
      </c>
      <c r="H44" s="65"/>
    </row>
    <row r="45" spans="1:8" ht="18" customHeight="1" x14ac:dyDescent="0.3">
      <c r="A45" s="56" t="s">
        <v>495</v>
      </c>
      <c r="B45" s="57" t="s">
        <v>467</v>
      </c>
      <c r="C45" s="57" t="s">
        <v>496</v>
      </c>
      <c r="D45" s="58">
        <v>0</v>
      </c>
      <c r="E45" s="58">
        <v>0</v>
      </c>
      <c r="F45" s="58">
        <v>0</v>
      </c>
      <c r="G45" s="59" t="str">
        <f t="shared" si="3"/>
        <v/>
      </c>
      <c r="H45" s="60"/>
    </row>
    <row r="46" spans="1:8" ht="18" customHeight="1" x14ac:dyDescent="0.3">
      <c r="A46" s="61" t="s">
        <v>497</v>
      </c>
      <c r="B46" s="62" t="s">
        <v>470</v>
      </c>
      <c r="C46" s="62" t="s">
        <v>498</v>
      </c>
      <c r="D46" s="63">
        <v>0</v>
      </c>
      <c r="E46" s="63">
        <v>0</v>
      </c>
      <c r="F46" s="63">
        <v>0</v>
      </c>
      <c r="G46" s="64" t="str">
        <f t="shared" si="3"/>
        <v/>
      </c>
      <c r="H46" s="65"/>
    </row>
    <row r="47" spans="1:8" ht="18" customHeight="1" x14ac:dyDescent="0.3">
      <c r="A47" s="56" t="s">
        <v>499</v>
      </c>
      <c r="B47" s="57" t="s">
        <v>473</v>
      </c>
      <c r="C47" s="57" t="s">
        <v>500</v>
      </c>
      <c r="D47" s="58">
        <v>0</v>
      </c>
      <c r="E47" s="58">
        <v>0</v>
      </c>
      <c r="F47" s="58">
        <v>0</v>
      </c>
      <c r="G47" s="59" t="str">
        <f t="shared" si="3"/>
        <v/>
      </c>
      <c r="H47" s="60"/>
    </row>
    <row r="48" spans="1:8" ht="18" customHeight="1" x14ac:dyDescent="0.3">
      <c r="A48" s="61" t="s">
        <v>501</v>
      </c>
      <c r="B48" s="62" t="s">
        <v>482</v>
      </c>
      <c r="C48" s="62" t="s">
        <v>502</v>
      </c>
      <c r="D48" s="63">
        <v>0</v>
      </c>
      <c r="E48" s="63">
        <v>0</v>
      </c>
      <c r="F48" s="63">
        <v>0</v>
      </c>
      <c r="G48" s="64" t="str">
        <f t="shared" si="3"/>
        <v/>
      </c>
      <c r="H48" s="65"/>
    </row>
    <row r="49" spans="1:8" ht="18" customHeight="1" x14ac:dyDescent="0.3">
      <c r="A49" s="56" t="s">
        <v>503</v>
      </c>
      <c r="B49" s="57" t="s">
        <v>504</v>
      </c>
      <c r="C49" s="57" t="s">
        <v>505</v>
      </c>
      <c r="D49" s="58">
        <v>0</v>
      </c>
      <c r="E49" s="58">
        <v>0</v>
      </c>
      <c r="F49" s="58">
        <v>0</v>
      </c>
      <c r="G49" s="59" t="str">
        <f t="shared" si="3"/>
        <v/>
      </c>
      <c r="H49" s="60"/>
    </row>
    <row r="50" spans="1:8" ht="18" customHeight="1" x14ac:dyDescent="0.3">
      <c r="A50" s="61" t="s">
        <v>506</v>
      </c>
      <c r="B50" s="62" t="s">
        <v>507</v>
      </c>
      <c r="C50" s="62" t="s">
        <v>508</v>
      </c>
      <c r="D50" s="63">
        <v>0</v>
      </c>
      <c r="E50" s="63">
        <v>0</v>
      </c>
      <c r="F50" s="63">
        <v>0</v>
      </c>
      <c r="G50" s="64" t="str">
        <f t="shared" si="3"/>
        <v/>
      </c>
      <c r="H50" s="65"/>
    </row>
    <row r="51" spans="1:8" ht="18" customHeight="1" x14ac:dyDescent="0.3">
      <c r="A51" s="66" t="s">
        <v>509</v>
      </c>
      <c r="B51" s="66" t="s">
        <v>510</v>
      </c>
      <c r="C51" s="66"/>
      <c r="D51" s="67">
        <v>0</v>
      </c>
      <c r="E51" s="67">
        <v>0</v>
      </c>
      <c r="F51" s="67">
        <v>0</v>
      </c>
      <c r="G51" s="67">
        <v>0</v>
      </c>
      <c r="H51" s="68"/>
    </row>
    <row r="52" spans="1:8" ht="7.95" customHeight="1" x14ac:dyDescent="0.3"/>
    <row r="53" spans="1:8" ht="18" customHeight="1" x14ac:dyDescent="0.3">
      <c r="A53" s="135" t="s">
        <v>511</v>
      </c>
      <c r="B53" s="122"/>
      <c r="C53" s="122"/>
      <c r="D53" s="122"/>
      <c r="E53" s="122"/>
      <c r="F53" s="122"/>
      <c r="G53" s="122"/>
      <c r="H53" s="123"/>
    </row>
    <row r="54" spans="1:8" ht="18" customHeight="1" x14ac:dyDescent="0.3">
      <c r="A54" s="61" t="s">
        <v>512</v>
      </c>
      <c r="B54" s="62" t="s">
        <v>513</v>
      </c>
      <c r="C54" s="62" t="s">
        <v>514</v>
      </c>
      <c r="D54" s="63">
        <v>0</v>
      </c>
      <c r="E54" s="63">
        <v>0</v>
      </c>
      <c r="F54" s="63">
        <v>0</v>
      </c>
      <c r="G54" s="64" t="str">
        <f>IF(E54&lt;&gt;0,(D54-E54)/ABS(E54),"")</f>
        <v/>
      </c>
      <c r="H54" s="65"/>
    </row>
    <row r="55" spans="1:8" ht="18" customHeight="1" x14ac:dyDescent="0.3">
      <c r="A55" s="56" t="s">
        <v>515</v>
      </c>
      <c r="B55" s="57" t="s">
        <v>516</v>
      </c>
      <c r="C55" s="57" t="s">
        <v>517</v>
      </c>
      <c r="D55" s="58">
        <v>0</v>
      </c>
      <c r="E55" s="58">
        <v>0</v>
      </c>
      <c r="F55" s="58">
        <v>0</v>
      </c>
      <c r="G55" s="59" t="str">
        <f>IF(E55&lt;&gt;0,(D55-E55)/ABS(E55),"")</f>
        <v/>
      </c>
      <c r="H55" s="60"/>
    </row>
    <row r="56" spans="1:8" ht="18" customHeight="1" x14ac:dyDescent="0.3">
      <c r="A56" s="61" t="s">
        <v>518</v>
      </c>
      <c r="B56" s="62" t="s">
        <v>519</v>
      </c>
      <c r="C56" s="62" t="s">
        <v>520</v>
      </c>
      <c r="D56" s="63">
        <v>0</v>
      </c>
      <c r="E56" s="63">
        <v>0</v>
      </c>
      <c r="F56" s="63">
        <v>0</v>
      </c>
      <c r="G56" s="64" t="str">
        <f>IF(E56&lt;&gt;0,(D56-E56)/ABS(E56),"")</f>
        <v/>
      </c>
      <c r="H56" s="65"/>
    </row>
    <row r="57" spans="1:8" ht="18" customHeight="1" x14ac:dyDescent="0.3">
      <c r="A57" s="56" t="s">
        <v>521</v>
      </c>
      <c r="B57" s="57" t="s">
        <v>522</v>
      </c>
      <c r="C57" s="57" t="s">
        <v>523</v>
      </c>
      <c r="D57" s="58">
        <v>0</v>
      </c>
      <c r="E57" s="58">
        <v>0</v>
      </c>
      <c r="F57" s="58">
        <v>0</v>
      </c>
      <c r="G57" s="59" t="str">
        <f>IF(E57&lt;&gt;0,(D57-E57)/ABS(E57),"")</f>
        <v/>
      </c>
      <c r="H57" s="60"/>
    </row>
    <row r="58" spans="1:8" ht="18" customHeight="1" x14ac:dyDescent="0.3">
      <c r="A58" s="61" t="s">
        <v>524</v>
      </c>
      <c r="B58" s="62" t="s">
        <v>525</v>
      </c>
      <c r="C58" s="62" t="s">
        <v>526</v>
      </c>
      <c r="D58" s="63">
        <v>0</v>
      </c>
      <c r="E58" s="63">
        <v>0</v>
      </c>
      <c r="F58" s="63">
        <v>0</v>
      </c>
      <c r="G58" s="64" t="str">
        <f>IF(E58&lt;&gt;0,(D58-E58)/ABS(E58),"")</f>
        <v/>
      </c>
      <c r="H58" s="65"/>
    </row>
    <row r="59" spans="1:8" ht="18" customHeight="1" x14ac:dyDescent="0.3">
      <c r="A59" s="66" t="s">
        <v>527</v>
      </c>
      <c r="B59" s="66" t="s">
        <v>528</v>
      </c>
      <c r="C59" s="66"/>
      <c r="D59" s="67">
        <v>0</v>
      </c>
      <c r="E59" s="67">
        <v>0</v>
      </c>
      <c r="F59" s="67">
        <v>0</v>
      </c>
      <c r="G59" s="67">
        <v>0</v>
      </c>
      <c r="H59" s="68"/>
    </row>
    <row r="60" spans="1:8" ht="7.95" customHeight="1" x14ac:dyDescent="0.3"/>
    <row r="61" spans="1:8" ht="18" customHeight="1" x14ac:dyDescent="0.3">
      <c r="A61" s="55" t="s">
        <v>529</v>
      </c>
      <c r="B61" s="55" t="s">
        <v>530</v>
      </c>
      <c r="C61" s="55"/>
      <c r="D61" s="69">
        <v>0</v>
      </c>
      <c r="E61" s="69">
        <v>0</v>
      </c>
      <c r="F61" s="69">
        <v>0</v>
      </c>
      <c r="G61" s="69">
        <v>0</v>
      </c>
      <c r="H61" s="70"/>
    </row>
    <row r="62" spans="1:8" ht="7.95" customHeight="1" x14ac:dyDescent="0.3"/>
    <row r="63" spans="1:8" ht="18" customHeight="1" x14ac:dyDescent="0.3">
      <c r="A63" s="55" t="s">
        <v>531</v>
      </c>
      <c r="B63" s="55" t="s">
        <v>532</v>
      </c>
      <c r="C63" s="55"/>
      <c r="D63" s="69">
        <v>0</v>
      </c>
      <c r="E63" s="69">
        <v>0</v>
      </c>
      <c r="F63" s="69">
        <v>0</v>
      </c>
      <c r="G63" s="69">
        <v>0</v>
      </c>
      <c r="H63" s="70"/>
    </row>
  </sheetData>
  <mergeCells count="8">
    <mergeCell ref="A1:H1"/>
    <mergeCell ref="A30:H30"/>
    <mergeCell ref="A53:H53"/>
    <mergeCell ref="A43:H43"/>
    <mergeCell ref="A5:H5"/>
    <mergeCell ref="A31:H31"/>
    <mergeCell ref="A6:H6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2"/>
  <sheetViews>
    <sheetView showGridLines="0"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1" width="8" customWidth="1"/>
    <col min="2" max="2" width="42" customWidth="1"/>
    <col min="3" max="3" width="20" customWidth="1"/>
    <col min="4" max="6" width="18" customWidth="1"/>
    <col min="7" max="7" width="14" customWidth="1"/>
  </cols>
  <sheetData>
    <row r="1" spans="1:7" ht="36" customHeight="1" x14ac:dyDescent="0.3">
      <c r="A1" s="125" t="s">
        <v>533</v>
      </c>
      <c r="B1" s="121"/>
      <c r="C1" s="121"/>
      <c r="D1" s="121"/>
      <c r="E1" s="121"/>
      <c r="F1" s="121"/>
      <c r="G1" s="121"/>
    </row>
    <row r="3" spans="1:7" ht="30" customHeight="1" x14ac:dyDescent="0.3">
      <c r="A3" s="13" t="s">
        <v>398</v>
      </c>
      <c r="B3" s="13" t="s">
        <v>399</v>
      </c>
      <c r="C3" s="13" t="s">
        <v>534</v>
      </c>
      <c r="D3" s="13" t="s">
        <v>535</v>
      </c>
      <c r="E3" s="13" t="s">
        <v>536</v>
      </c>
      <c r="F3" s="13" t="s">
        <v>403</v>
      </c>
      <c r="G3" s="13" t="s">
        <v>537</v>
      </c>
    </row>
    <row r="5" spans="1:7" ht="18" customHeight="1" x14ac:dyDescent="0.3">
      <c r="A5" s="136" t="s">
        <v>538</v>
      </c>
      <c r="B5" s="122"/>
      <c r="C5" s="122"/>
      <c r="D5" s="122"/>
      <c r="E5" s="122"/>
      <c r="F5" s="122"/>
      <c r="G5" s="123"/>
    </row>
    <row r="6" spans="1:7" ht="18" customHeight="1" x14ac:dyDescent="0.3">
      <c r="A6" s="62" t="s">
        <v>539</v>
      </c>
      <c r="B6" s="62" t="s">
        <v>540</v>
      </c>
      <c r="C6" s="62" t="s">
        <v>541</v>
      </c>
      <c r="D6" s="63">
        <v>0</v>
      </c>
      <c r="E6" s="63">
        <v>0</v>
      </c>
      <c r="F6" s="63">
        <v>0</v>
      </c>
      <c r="G6" s="64" t="str">
        <f>IF(E6&lt;&gt;0,(D6-E6)/ABS(E6),"")</f>
        <v/>
      </c>
    </row>
    <row r="7" spans="1:7" ht="18" customHeight="1" x14ac:dyDescent="0.3">
      <c r="A7" s="57" t="s">
        <v>542</v>
      </c>
      <c r="B7" s="57" t="s">
        <v>543</v>
      </c>
      <c r="C7" s="57" t="s">
        <v>311</v>
      </c>
      <c r="D7" s="58">
        <v>0</v>
      </c>
      <c r="E7" s="58">
        <v>0</v>
      </c>
      <c r="F7" s="58">
        <v>0</v>
      </c>
      <c r="G7" s="59" t="str">
        <f>IF(E7&lt;&gt;0,(D7-E7)/ABS(E7),"")</f>
        <v/>
      </c>
    </row>
    <row r="8" spans="1:7" ht="18" customHeight="1" x14ac:dyDescent="0.3">
      <c r="A8" s="62" t="s">
        <v>544</v>
      </c>
      <c r="B8" s="62" t="s">
        <v>545</v>
      </c>
      <c r="C8" s="62" t="s">
        <v>314</v>
      </c>
      <c r="D8" s="63">
        <v>0</v>
      </c>
      <c r="E8" s="63">
        <v>0</v>
      </c>
      <c r="F8" s="63">
        <v>0</v>
      </c>
      <c r="G8" s="64" t="str">
        <f>IF(E8&lt;&gt;0,(D8-E8)/ABS(E8),"")</f>
        <v/>
      </c>
    </row>
    <row r="9" spans="1:7" ht="18" customHeight="1" x14ac:dyDescent="0.3">
      <c r="A9" s="72" t="s">
        <v>546</v>
      </c>
      <c r="B9" s="72" t="s">
        <v>547</v>
      </c>
      <c r="C9" s="72"/>
      <c r="D9" s="73">
        <v>0</v>
      </c>
      <c r="E9" s="73">
        <v>0</v>
      </c>
      <c r="F9" s="73">
        <v>0</v>
      </c>
      <c r="G9" s="74"/>
    </row>
    <row r="10" spans="1:7" ht="6" customHeight="1" x14ac:dyDescent="0.3"/>
    <row r="11" spans="1:7" ht="18" customHeight="1" x14ac:dyDescent="0.3">
      <c r="A11" s="136" t="s">
        <v>548</v>
      </c>
      <c r="B11" s="122"/>
      <c r="C11" s="122"/>
      <c r="D11" s="122"/>
      <c r="E11" s="122"/>
      <c r="F11" s="122"/>
      <c r="G11" s="123"/>
    </row>
    <row r="12" spans="1:7" ht="18" customHeight="1" x14ac:dyDescent="0.3">
      <c r="A12" s="62" t="s">
        <v>549</v>
      </c>
      <c r="B12" s="62" t="s">
        <v>550</v>
      </c>
      <c r="C12" s="62" t="s">
        <v>320</v>
      </c>
      <c r="D12" s="63">
        <v>0</v>
      </c>
      <c r="E12" s="63">
        <v>0</v>
      </c>
      <c r="F12" s="63">
        <v>0</v>
      </c>
      <c r="G12" s="64" t="str">
        <f>IF(E12&lt;&gt;0,(D12-E12)/ABS(E12),"")</f>
        <v/>
      </c>
    </row>
    <row r="13" spans="1:7" ht="18" customHeight="1" x14ac:dyDescent="0.3">
      <c r="A13" s="57" t="s">
        <v>551</v>
      </c>
      <c r="B13" s="57" t="s">
        <v>552</v>
      </c>
      <c r="C13" s="57" t="s">
        <v>323</v>
      </c>
      <c r="D13" s="58">
        <v>0</v>
      </c>
      <c r="E13" s="58">
        <v>0</v>
      </c>
      <c r="F13" s="58">
        <v>0</v>
      </c>
      <c r="G13" s="59" t="str">
        <f>IF(E13&lt;&gt;0,(D13-E13)/ABS(E13),"")</f>
        <v/>
      </c>
    </row>
    <row r="14" spans="1:7" ht="18" customHeight="1" x14ac:dyDescent="0.3">
      <c r="A14" s="62" t="s">
        <v>553</v>
      </c>
      <c r="B14" s="62" t="s">
        <v>554</v>
      </c>
      <c r="C14" s="62" t="s">
        <v>555</v>
      </c>
      <c r="D14" s="63">
        <v>0</v>
      </c>
      <c r="E14" s="63">
        <v>0</v>
      </c>
      <c r="F14" s="63">
        <v>0</v>
      </c>
      <c r="G14" s="64" t="str">
        <f>IF(E14&lt;&gt;0,(D14-E14)/ABS(E14),"")</f>
        <v/>
      </c>
    </row>
    <row r="15" spans="1:7" ht="18" customHeight="1" x14ac:dyDescent="0.3">
      <c r="A15" s="72" t="s">
        <v>556</v>
      </c>
      <c r="B15" s="72" t="s">
        <v>557</v>
      </c>
      <c r="C15" s="72"/>
      <c r="D15" s="73">
        <v>0</v>
      </c>
      <c r="E15" s="73">
        <v>0</v>
      </c>
      <c r="F15" s="73">
        <v>0</v>
      </c>
      <c r="G15" s="74"/>
    </row>
    <row r="16" spans="1:7" ht="6" customHeight="1" x14ac:dyDescent="0.3"/>
    <row r="17" spans="1:7" ht="18" customHeight="1" x14ac:dyDescent="0.3">
      <c r="A17" s="75" t="s">
        <v>558</v>
      </c>
      <c r="B17" s="75" t="s">
        <v>559</v>
      </c>
      <c r="C17" s="75"/>
      <c r="D17" s="76">
        <v>0</v>
      </c>
      <c r="E17" s="76">
        <v>0</v>
      </c>
      <c r="F17" s="76">
        <v>0</v>
      </c>
      <c r="G17" s="77"/>
    </row>
    <row r="18" spans="1:7" ht="6" customHeight="1" x14ac:dyDescent="0.3"/>
    <row r="19" spans="1:7" ht="18" customHeight="1" x14ac:dyDescent="0.3">
      <c r="A19" s="136" t="s">
        <v>560</v>
      </c>
      <c r="B19" s="122"/>
      <c r="C19" s="122"/>
      <c r="D19" s="122"/>
      <c r="E19" s="122"/>
      <c r="F19" s="122"/>
      <c r="G19" s="123"/>
    </row>
    <row r="20" spans="1:7" ht="18" customHeight="1" x14ac:dyDescent="0.3">
      <c r="A20" s="62" t="s">
        <v>561</v>
      </c>
      <c r="B20" s="62" t="s">
        <v>562</v>
      </c>
      <c r="C20" s="62" t="s">
        <v>329</v>
      </c>
      <c r="D20" s="63">
        <v>0</v>
      </c>
      <c r="E20" s="63">
        <v>0</v>
      </c>
      <c r="F20" s="63">
        <v>0</v>
      </c>
      <c r="G20" s="64" t="str">
        <f>IF(E20&lt;&gt;0,(D20-E20)/ABS(E20),"")</f>
        <v/>
      </c>
    </row>
    <row r="21" spans="1:7" ht="18" customHeight="1" x14ac:dyDescent="0.3">
      <c r="A21" s="57" t="s">
        <v>563</v>
      </c>
      <c r="B21" s="57" t="s">
        <v>564</v>
      </c>
      <c r="C21" s="57" t="s">
        <v>332</v>
      </c>
      <c r="D21" s="58">
        <v>0</v>
      </c>
      <c r="E21" s="58">
        <v>0</v>
      </c>
      <c r="F21" s="58">
        <v>0</v>
      </c>
      <c r="G21" s="59" t="str">
        <f>IF(E21&lt;&gt;0,(D21-E21)/ABS(E21),"")</f>
        <v/>
      </c>
    </row>
    <row r="22" spans="1:7" ht="18" customHeight="1" x14ac:dyDescent="0.3">
      <c r="A22" s="62" t="s">
        <v>565</v>
      </c>
      <c r="B22" s="62" t="s">
        <v>566</v>
      </c>
      <c r="C22" s="62" t="s">
        <v>335</v>
      </c>
      <c r="D22" s="63">
        <v>0</v>
      </c>
      <c r="E22" s="63">
        <v>0</v>
      </c>
      <c r="F22" s="63">
        <v>0</v>
      </c>
      <c r="G22" s="64" t="str">
        <f>IF(E22&lt;&gt;0,(D22-E22)/ABS(E22),"")</f>
        <v/>
      </c>
    </row>
    <row r="23" spans="1:7" ht="18" customHeight="1" x14ac:dyDescent="0.3">
      <c r="A23" s="72" t="s">
        <v>567</v>
      </c>
      <c r="B23" s="72" t="s">
        <v>568</v>
      </c>
      <c r="C23" s="72"/>
      <c r="D23" s="73">
        <v>0</v>
      </c>
      <c r="E23" s="73">
        <v>0</v>
      </c>
      <c r="F23" s="73">
        <v>0</v>
      </c>
      <c r="G23" s="74"/>
    </row>
    <row r="24" spans="1:7" ht="6" customHeight="1" x14ac:dyDescent="0.3"/>
    <row r="25" spans="1:7" ht="18" customHeight="1" x14ac:dyDescent="0.3">
      <c r="A25" s="75" t="s">
        <v>569</v>
      </c>
      <c r="B25" s="75" t="s">
        <v>570</v>
      </c>
      <c r="C25" s="75"/>
      <c r="D25" s="76">
        <v>0</v>
      </c>
      <c r="E25" s="76">
        <v>0</v>
      </c>
      <c r="F25" s="76">
        <v>0</v>
      </c>
      <c r="G25" s="77"/>
    </row>
    <row r="26" spans="1:7" ht="6" customHeight="1" x14ac:dyDescent="0.3"/>
    <row r="27" spans="1:7" ht="18" customHeight="1" x14ac:dyDescent="0.3">
      <c r="A27" s="136" t="s">
        <v>571</v>
      </c>
      <c r="B27" s="122"/>
      <c r="C27" s="122"/>
      <c r="D27" s="122"/>
      <c r="E27" s="122"/>
      <c r="F27" s="122"/>
      <c r="G27" s="123"/>
    </row>
    <row r="28" spans="1:7" ht="18" customHeight="1" x14ac:dyDescent="0.3">
      <c r="A28" s="62" t="s">
        <v>572</v>
      </c>
      <c r="B28" s="62" t="s">
        <v>573</v>
      </c>
      <c r="C28" s="62" t="s">
        <v>574</v>
      </c>
      <c r="D28" s="63">
        <v>0</v>
      </c>
      <c r="E28" s="63">
        <v>0</v>
      </c>
      <c r="F28" s="63">
        <v>0</v>
      </c>
      <c r="G28" s="64" t="str">
        <f>IF(E28&lt;&gt;0,(D28-E28)/ABS(E28),"")</f>
        <v/>
      </c>
    </row>
    <row r="29" spans="1:7" ht="18" customHeight="1" x14ac:dyDescent="0.3">
      <c r="A29" s="75" t="s">
        <v>575</v>
      </c>
      <c r="B29" s="75" t="s">
        <v>576</v>
      </c>
      <c r="C29" s="75"/>
      <c r="D29" s="76">
        <v>0</v>
      </c>
      <c r="E29" s="76">
        <v>0</v>
      </c>
      <c r="F29" s="76">
        <v>0</v>
      </c>
      <c r="G29" s="77"/>
    </row>
    <row r="30" spans="1:7" ht="6" customHeight="1" x14ac:dyDescent="0.3"/>
    <row r="31" spans="1:7" ht="18" customHeight="1" x14ac:dyDescent="0.3">
      <c r="A31" s="136" t="s">
        <v>577</v>
      </c>
      <c r="B31" s="122"/>
      <c r="C31" s="122"/>
      <c r="D31" s="122"/>
      <c r="E31" s="122"/>
      <c r="F31" s="122"/>
      <c r="G31" s="123"/>
    </row>
    <row r="32" spans="1:7" ht="18" customHeight="1" x14ac:dyDescent="0.3">
      <c r="A32" s="62" t="s">
        <v>578</v>
      </c>
      <c r="B32" s="62" t="s">
        <v>579</v>
      </c>
      <c r="C32" s="62" t="s">
        <v>580</v>
      </c>
      <c r="D32" s="63">
        <v>0</v>
      </c>
      <c r="E32" s="63">
        <v>0</v>
      </c>
      <c r="F32" s="63">
        <v>0</v>
      </c>
      <c r="G32" s="64" t="str">
        <f>IF(E32&lt;&gt;0,(D32-E32)/ABS(E32),"")</f>
        <v/>
      </c>
    </row>
    <row r="33" spans="1:7" ht="18" customHeight="1" x14ac:dyDescent="0.3">
      <c r="A33" s="57" t="s">
        <v>581</v>
      </c>
      <c r="B33" s="57" t="s">
        <v>582</v>
      </c>
      <c r="C33" s="57" t="s">
        <v>583</v>
      </c>
      <c r="D33" s="58">
        <v>0</v>
      </c>
      <c r="E33" s="58">
        <v>0</v>
      </c>
      <c r="F33" s="58">
        <v>0</v>
      </c>
      <c r="G33" s="59" t="str">
        <f>IF(E33&lt;&gt;0,(D33-E33)/ABS(E33),"")</f>
        <v/>
      </c>
    </row>
    <row r="34" spans="1:7" ht="6" customHeight="1" x14ac:dyDescent="0.3"/>
    <row r="35" spans="1:7" ht="18" customHeight="1" x14ac:dyDescent="0.3">
      <c r="A35" s="136" t="s">
        <v>584</v>
      </c>
      <c r="B35" s="122"/>
      <c r="C35" s="122"/>
      <c r="D35" s="122"/>
      <c r="E35" s="122"/>
      <c r="F35" s="122"/>
      <c r="G35" s="123"/>
    </row>
    <row r="36" spans="1:7" ht="18" customHeight="1" x14ac:dyDescent="0.3">
      <c r="A36" s="62" t="s">
        <v>585</v>
      </c>
      <c r="B36" s="62" t="s">
        <v>586</v>
      </c>
      <c r="C36" s="62" t="s">
        <v>587</v>
      </c>
      <c r="D36" s="63">
        <v>0</v>
      </c>
      <c r="E36" s="63">
        <v>0</v>
      </c>
      <c r="F36" s="63">
        <v>0</v>
      </c>
      <c r="G36" s="64" t="str">
        <f>IF(E36&lt;&gt;0,(D36-E36)/ABS(E36),"")</f>
        <v/>
      </c>
    </row>
    <row r="37" spans="1:7" ht="18" customHeight="1" x14ac:dyDescent="0.3">
      <c r="A37" s="57" t="s">
        <v>588</v>
      </c>
      <c r="B37" s="57" t="s">
        <v>589</v>
      </c>
      <c r="C37" s="57" t="s">
        <v>590</v>
      </c>
      <c r="D37" s="58">
        <v>0</v>
      </c>
      <c r="E37" s="58">
        <v>0</v>
      </c>
      <c r="F37" s="58">
        <v>0</v>
      </c>
      <c r="G37" s="59" t="str">
        <f>IF(E37&lt;&gt;0,(D37-E37)/ABS(E37),"")</f>
        <v/>
      </c>
    </row>
    <row r="38" spans="1:7" ht="6" customHeight="1" x14ac:dyDescent="0.3"/>
    <row r="39" spans="1:7" ht="18" customHeight="1" x14ac:dyDescent="0.3">
      <c r="A39" s="75" t="s">
        <v>591</v>
      </c>
      <c r="B39" s="75" t="s">
        <v>592</v>
      </c>
      <c r="C39" s="75"/>
      <c r="D39" s="76">
        <v>0</v>
      </c>
      <c r="E39" s="76">
        <v>0</v>
      </c>
      <c r="F39" s="76">
        <v>0</v>
      </c>
      <c r="G39" s="77"/>
    </row>
    <row r="40" spans="1:7" ht="18" customHeight="1" x14ac:dyDescent="0.3">
      <c r="A40" s="62" t="s">
        <v>408</v>
      </c>
      <c r="B40" s="62" t="s">
        <v>593</v>
      </c>
      <c r="C40" s="62" t="s">
        <v>594</v>
      </c>
      <c r="D40" s="63">
        <v>0</v>
      </c>
      <c r="E40" s="63">
        <v>0</v>
      </c>
      <c r="F40" s="63">
        <v>0</v>
      </c>
      <c r="G40" s="64" t="str">
        <f>IF(E40&lt;&gt;0,(D40-E40)/ABS(E40),"")</f>
        <v/>
      </c>
    </row>
    <row r="41" spans="1:7" ht="6" customHeight="1" x14ac:dyDescent="0.3"/>
    <row r="42" spans="1:7" ht="18" customHeight="1" x14ac:dyDescent="0.3">
      <c r="A42" s="75" t="s">
        <v>595</v>
      </c>
      <c r="B42" s="75" t="s">
        <v>596</v>
      </c>
      <c r="C42" s="75"/>
      <c r="D42" s="76">
        <v>0</v>
      </c>
      <c r="E42" s="76">
        <v>0</v>
      </c>
      <c r="F42" s="76">
        <v>0</v>
      </c>
      <c r="G42" s="77"/>
    </row>
  </sheetData>
  <mergeCells count="7">
    <mergeCell ref="A1:G1"/>
    <mergeCell ref="A27:G27"/>
    <mergeCell ref="A31:G31"/>
    <mergeCell ref="A35:G35"/>
    <mergeCell ref="A19:G19"/>
    <mergeCell ref="A11:G11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showGridLines="0"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1" width="8" customWidth="1"/>
    <col min="2" max="2" width="40" customWidth="1"/>
    <col min="3" max="3" width="20" customWidth="1"/>
    <col min="4" max="6" width="18" customWidth="1"/>
    <col min="7" max="7" width="14" customWidth="1"/>
  </cols>
  <sheetData>
    <row r="1" spans="1:7" ht="36" customHeight="1" x14ac:dyDescent="0.3">
      <c r="A1" s="125" t="s">
        <v>597</v>
      </c>
      <c r="B1" s="121"/>
      <c r="C1" s="121"/>
      <c r="D1" s="121"/>
      <c r="E1" s="121"/>
      <c r="F1" s="121"/>
      <c r="G1" s="121"/>
    </row>
    <row r="3" spans="1:7" ht="25.95" customHeight="1" x14ac:dyDescent="0.3">
      <c r="A3" s="13" t="s">
        <v>598</v>
      </c>
      <c r="B3" s="13" t="s">
        <v>599</v>
      </c>
      <c r="C3" s="13" t="s">
        <v>534</v>
      </c>
      <c r="D3" s="13" t="s">
        <v>535</v>
      </c>
      <c r="E3" s="13" t="s">
        <v>536</v>
      </c>
      <c r="F3" s="13" t="s">
        <v>403</v>
      </c>
      <c r="G3" s="13" t="s">
        <v>537</v>
      </c>
    </row>
    <row r="5" spans="1:7" ht="18" customHeight="1" x14ac:dyDescent="0.3">
      <c r="A5" s="15" t="s">
        <v>64</v>
      </c>
      <c r="B5" s="15" t="s">
        <v>600</v>
      </c>
      <c r="C5" s="15" t="s">
        <v>601</v>
      </c>
      <c r="D5" s="58">
        <v>0</v>
      </c>
      <c r="E5" s="58">
        <v>0</v>
      </c>
      <c r="F5" s="58">
        <v>0</v>
      </c>
      <c r="G5" s="59" t="str">
        <f t="shared" ref="G5:G12" si="0">IF(E5&lt;&gt;0,(D5-E5)/ABS(E5),"")</f>
        <v/>
      </c>
    </row>
    <row r="6" spans="1:7" ht="18" customHeight="1" x14ac:dyDescent="0.3">
      <c r="A6" s="20" t="s">
        <v>205</v>
      </c>
      <c r="B6" s="20" t="s">
        <v>602</v>
      </c>
      <c r="C6" s="20" t="s">
        <v>603</v>
      </c>
      <c r="D6" s="63">
        <v>0</v>
      </c>
      <c r="E6" s="63">
        <v>0</v>
      </c>
      <c r="F6" s="63">
        <v>0</v>
      </c>
      <c r="G6" s="64" t="str">
        <f t="shared" si="0"/>
        <v/>
      </c>
    </row>
    <row r="7" spans="1:7" ht="18" customHeight="1" x14ac:dyDescent="0.3">
      <c r="A7" s="72" t="s">
        <v>604</v>
      </c>
      <c r="B7" s="72" t="s">
        <v>605</v>
      </c>
      <c r="C7" s="72"/>
      <c r="D7" s="73">
        <v>0</v>
      </c>
      <c r="E7" s="73">
        <v>0</v>
      </c>
      <c r="F7" s="73">
        <v>0</v>
      </c>
      <c r="G7" s="78" t="str">
        <f t="shared" si="0"/>
        <v/>
      </c>
    </row>
    <row r="8" spans="1:7" ht="18" customHeight="1" x14ac:dyDescent="0.3">
      <c r="A8" s="20" t="s">
        <v>92</v>
      </c>
      <c r="B8" s="20" t="s">
        <v>606</v>
      </c>
      <c r="C8" s="20" t="s">
        <v>607</v>
      </c>
      <c r="D8" s="63">
        <v>0</v>
      </c>
      <c r="E8" s="63">
        <v>0</v>
      </c>
      <c r="F8" s="63">
        <v>0</v>
      </c>
      <c r="G8" s="64" t="str">
        <f t="shared" si="0"/>
        <v/>
      </c>
    </row>
    <row r="9" spans="1:7" ht="18" customHeight="1" x14ac:dyDescent="0.3">
      <c r="A9" s="75" t="s">
        <v>604</v>
      </c>
      <c r="B9" s="75" t="s">
        <v>608</v>
      </c>
      <c r="C9" s="75"/>
      <c r="D9" s="76">
        <v>0</v>
      </c>
      <c r="E9" s="76">
        <v>0</v>
      </c>
      <c r="F9" s="76">
        <v>0</v>
      </c>
      <c r="G9" s="79" t="str">
        <f t="shared" si="0"/>
        <v/>
      </c>
    </row>
    <row r="10" spans="1:7" ht="18" customHeight="1" x14ac:dyDescent="0.3">
      <c r="A10" s="20" t="s">
        <v>274</v>
      </c>
      <c r="B10" s="20" t="s">
        <v>609</v>
      </c>
      <c r="C10" s="20" t="s">
        <v>227</v>
      </c>
      <c r="D10" s="63">
        <v>0</v>
      </c>
      <c r="E10" s="63">
        <v>0</v>
      </c>
      <c r="F10" s="63">
        <v>0</v>
      </c>
      <c r="G10" s="64" t="str">
        <f t="shared" si="0"/>
        <v/>
      </c>
    </row>
    <row r="11" spans="1:7" ht="18" customHeight="1" x14ac:dyDescent="0.3">
      <c r="A11" s="15" t="s">
        <v>280</v>
      </c>
      <c r="B11" s="15" t="s">
        <v>610</v>
      </c>
      <c r="C11" s="15" t="s">
        <v>236</v>
      </c>
      <c r="D11" s="58">
        <v>0</v>
      </c>
      <c r="E11" s="58">
        <v>0</v>
      </c>
      <c r="F11" s="58">
        <v>0</v>
      </c>
      <c r="G11" s="59" t="str">
        <f t="shared" si="0"/>
        <v/>
      </c>
    </row>
    <row r="12" spans="1:7" ht="18" customHeight="1" x14ac:dyDescent="0.3">
      <c r="A12" s="75" t="s">
        <v>604</v>
      </c>
      <c r="B12" s="75" t="s">
        <v>576</v>
      </c>
      <c r="C12" s="75"/>
      <c r="D12" s="76">
        <v>0</v>
      </c>
      <c r="E12" s="76">
        <v>0</v>
      </c>
      <c r="F12" s="76">
        <v>0</v>
      </c>
      <c r="G12" s="79" t="str">
        <f t="shared" si="0"/>
        <v/>
      </c>
    </row>
    <row r="13" spans="1:7" ht="6" customHeight="1" x14ac:dyDescent="0.3"/>
    <row r="14" spans="1:7" ht="18" customHeight="1" x14ac:dyDescent="0.3">
      <c r="A14" s="136" t="s">
        <v>611</v>
      </c>
      <c r="B14" s="122"/>
      <c r="C14" s="122"/>
      <c r="D14" s="122"/>
      <c r="E14" s="122"/>
      <c r="F14" s="122"/>
      <c r="G14" s="123"/>
    </row>
    <row r="15" spans="1:7" ht="18" customHeight="1" x14ac:dyDescent="0.3">
      <c r="A15" s="15" t="s">
        <v>612</v>
      </c>
      <c r="B15" s="15" t="s">
        <v>613</v>
      </c>
      <c r="C15" s="15"/>
      <c r="D15" s="80">
        <v>0</v>
      </c>
      <c r="E15" s="80">
        <v>0</v>
      </c>
      <c r="F15" s="80">
        <v>0</v>
      </c>
      <c r="G15" s="59" t="str">
        <f>IF(E15&lt;&gt;0,(D15-E15)/ABS(E15),"")</f>
        <v/>
      </c>
    </row>
    <row r="16" spans="1:7" ht="18" customHeight="1" x14ac:dyDescent="0.3">
      <c r="A16" s="20" t="s">
        <v>614</v>
      </c>
      <c r="B16" s="20" t="s">
        <v>615</v>
      </c>
      <c r="C16" s="20"/>
      <c r="D16" s="81">
        <v>0</v>
      </c>
      <c r="E16" s="81">
        <v>0</v>
      </c>
      <c r="F16" s="81">
        <v>0</v>
      </c>
      <c r="G16" s="64" t="str">
        <f>IF(E16&lt;&gt;0,(D16-E16)/ABS(E16),"")</f>
        <v/>
      </c>
    </row>
    <row r="17" spans="1:7" ht="18" customHeight="1" x14ac:dyDescent="0.3">
      <c r="A17" s="15" t="s">
        <v>616</v>
      </c>
      <c r="B17" s="15" t="s">
        <v>617</v>
      </c>
      <c r="C17" s="15"/>
      <c r="D17" s="80">
        <v>0</v>
      </c>
      <c r="E17" s="80">
        <v>0</v>
      </c>
      <c r="F17" s="80">
        <v>0</v>
      </c>
      <c r="G17" s="59" t="str">
        <f>IF(E17&lt;&gt;0,(D17-E17)/ABS(E17),"")</f>
        <v/>
      </c>
    </row>
    <row r="18" spans="1:7" ht="18" customHeight="1" x14ac:dyDescent="0.3">
      <c r="A18" s="20" t="s">
        <v>618</v>
      </c>
      <c r="B18" s="20" t="s">
        <v>619</v>
      </c>
      <c r="C18" s="20"/>
      <c r="D18" s="81">
        <v>0</v>
      </c>
      <c r="E18" s="81">
        <v>0</v>
      </c>
      <c r="F18" s="81">
        <v>0</v>
      </c>
      <c r="G18" s="64" t="str">
        <f>IF(E18&lt;&gt;0,(D18-E18)/ABS(E18),"")</f>
        <v/>
      </c>
    </row>
  </sheetData>
  <mergeCells count="2">
    <mergeCell ref="A14:G14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L1"/>
    </sheetView>
  </sheetViews>
  <sheetFormatPr defaultRowHeight="14.4" x14ac:dyDescent="0.3"/>
  <cols>
    <col min="1" max="1" width="8" customWidth="1"/>
    <col min="2" max="2" width="28" customWidth="1"/>
    <col min="3" max="3" width="10" customWidth="1"/>
    <col min="4" max="4" width="16" customWidth="1"/>
    <col min="5" max="5" width="30" customWidth="1"/>
    <col min="6" max="9" width="14" customWidth="1"/>
    <col min="10" max="10" width="16" customWidth="1"/>
    <col min="11" max="11" width="18" customWidth="1"/>
    <col min="12" max="12" width="20" customWidth="1"/>
  </cols>
  <sheetData>
    <row r="1" spans="1:12" ht="36" customHeight="1" x14ac:dyDescent="0.3">
      <c r="A1" s="125" t="s">
        <v>620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</row>
    <row r="4" spans="1:12" ht="40.049999999999997" customHeight="1" x14ac:dyDescent="0.3">
      <c r="A4" s="13" t="s">
        <v>621</v>
      </c>
      <c r="B4" s="13" t="s">
        <v>622</v>
      </c>
      <c r="C4" s="13" t="s">
        <v>623</v>
      </c>
      <c r="D4" s="13" t="s">
        <v>624</v>
      </c>
      <c r="E4" s="13" t="s">
        <v>625</v>
      </c>
      <c r="F4" s="13" t="s">
        <v>626</v>
      </c>
      <c r="G4" s="13" t="s">
        <v>627</v>
      </c>
      <c r="H4" s="13" t="s">
        <v>628</v>
      </c>
      <c r="I4" s="13" t="s">
        <v>629</v>
      </c>
      <c r="J4" s="13" t="s">
        <v>630</v>
      </c>
      <c r="K4" s="13" t="s">
        <v>631</v>
      </c>
      <c r="L4" s="13" t="s">
        <v>632</v>
      </c>
    </row>
    <row r="5" spans="1:12" ht="18" customHeight="1" x14ac:dyDescent="0.3">
      <c r="A5" s="15" t="s">
        <v>633</v>
      </c>
      <c r="B5" s="15" t="s">
        <v>634</v>
      </c>
      <c r="C5" s="15" t="s">
        <v>635</v>
      </c>
      <c r="D5" s="15" t="s">
        <v>636</v>
      </c>
      <c r="E5" s="15" t="s">
        <v>637</v>
      </c>
      <c r="F5" s="15" t="s">
        <v>638</v>
      </c>
      <c r="G5" s="82">
        <v>10</v>
      </c>
      <c r="H5" s="83">
        <v>0.02</v>
      </c>
      <c r="I5" s="84">
        <f>G6/(1-H6)</f>
        <v>2.0202020202020203</v>
      </c>
      <c r="J5" s="85"/>
      <c r="K5" s="84">
        <f>I6*J6</f>
        <v>0</v>
      </c>
      <c r="L5" s="86" t="s">
        <v>115</v>
      </c>
    </row>
    <row r="6" spans="1:12" ht="18" customHeight="1" x14ac:dyDescent="0.3">
      <c r="A6" s="20" t="s">
        <v>633</v>
      </c>
      <c r="B6" s="20" t="s">
        <v>634</v>
      </c>
      <c r="C6" s="20" t="s">
        <v>635</v>
      </c>
      <c r="D6" s="20" t="s">
        <v>639</v>
      </c>
      <c r="E6" s="20" t="s">
        <v>640</v>
      </c>
      <c r="F6" s="20" t="s">
        <v>641</v>
      </c>
      <c r="G6" s="87">
        <v>2</v>
      </c>
      <c r="H6" s="88">
        <v>0.01</v>
      </c>
      <c r="I6" s="89">
        <f>G7/(1-H7)</f>
        <v>5</v>
      </c>
      <c r="J6" s="90"/>
      <c r="K6" s="89">
        <f>I7*J7</f>
        <v>0</v>
      </c>
      <c r="L6" s="91" t="s">
        <v>115</v>
      </c>
    </row>
    <row r="7" spans="1:12" ht="18" customHeight="1" x14ac:dyDescent="0.3">
      <c r="A7" s="15" t="s">
        <v>633</v>
      </c>
      <c r="B7" s="15" t="s">
        <v>634</v>
      </c>
      <c r="C7" s="15" t="s">
        <v>642</v>
      </c>
      <c r="D7" s="15" t="s">
        <v>643</v>
      </c>
      <c r="E7" s="15" t="s">
        <v>644</v>
      </c>
      <c r="F7" s="15" t="s">
        <v>645</v>
      </c>
      <c r="G7" s="82">
        <v>5</v>
      </c>
      <c r="H7" s="83">
        <v>0</v>
      </c>
      <c r="I7" s="84">
        <f>G8</f>
        <v>0</v>
      </c>
      <c r="J7" s="85"/>
      <c r="K7" s="84">
        <f>I8*J8</f>
        <v>0</v>
      </c>
      <c r="L7" s="86" t="s">
        <v>360</v>
      </c>
    </row>
    <row r="8" spans="1:12" ht="18" customHeight="1" x14ac:dyDescent="0.3">
      <c r="A8" s="137" t="s">
        <v>646</v>
      </c>
      <c r="B8" s="122"/>
      <c r="C8" s="122"/>
      <c r="D8" s="122"/>
      <c r="E8" s="122"/>
      <c r="F8" s="122"/>
      <c r="G8" s="122"/>
      <c r="H8" s="122"/>
      <c r="I8" s="122"/>
      <c r="J8" s="123"/>
      <c r="K8" s="93" t="str">
        <f ca="1">SUM(K6:K8)</f>
        <v/>
      </c>
      <c r="L8" s="93"/>
    </row>
  </sheetData>
  <autoFilter ref="A4:L4" xr:uid="{00000000-0009-0000-0000-000006000000}"/>
  <mergeCells count="2">
    <mergeCell ref="A1:L1"/>
    <mergeCell ref="A8:J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N1"/>
    </sheetView>
  </sheetViews>
  <sheetFormatPr defaultRowHeight="14.4" x14ac:dyDescent="0.3"/>
  <cols>
    <col min="1" max="2" width="16" customWidth="1"/>
    <col min="3" max="3" width="30" customWidth="1"/>
    <col min="4" max="4" width="10" customWidth="1"/>
    <col min="5" max="8" width="16" customWidth="1"/>
    <col min="9" max="9" width="14" customWidth="1"/>
    <col min="10" max="13" width="18" customWidth="1"/>
    <col min="14" max="14" width="16" customWidth="1"/>
  </cols>
  <sheetData>
    <row r="1" spans="1:14" ht="36" customHeight="1" x14ac:dyDescent="0.3">
      <c r="A1" s="125" t="s">
        <v>647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</row>
    <row r="4" spans="1:14" ht="40.049999999999997" customHeight="1" x14ac:dyDescent="0.3">
      <c r="A4" s="13" t="s">
        <v>648</v>
      </c>
      <c r="B4" s="13" t="s">
        <v>624</v>
      </c>
      <c r="C4" s="13" t="s">
        <v>625</v>
      </c>
      <c r="D4" s="13" t="s">
        <v>626</v>
      </c>
      <c r="E4" s="13" t="s">
        <v>649</v>
      </c>
      <c r="F4" s="13" t="s">
        <v>650</v>
      </c>
      <c r="G4" s="13" t="s">
        <v>651</v>
      </c>
      <c r="H4" s="13" t="s">
        <v>652</v>
      </c>
      <c r="I4" s="13" t="s">
        <v>630</v>
      </c>
      <c r="J4" s="13" t="s">
        <v>653</v>
      </c>
      <c r="K4" s="13" t="s">
        <v>654</v>
      </c>
      <c r="L4" s="13" t="s">
        <v>655</v>
      </c>
      <c r="M4" s="13" t="s">
        <v>656</v>
      </c>
      <c r="N4" s="13" t="s">
        <v>632</v>
      </c>
    </row>
    <row r="5" spans="1:14" ht="18" customHeight="1" x14ac:dyDescent="0.3">
      <c r="A5" s="15" t="s">
        <v>69</v>
      </c>
      <c r="B5" s="15" t="s">
        <v>636</v>
      </c>
      <c r="C5" s="15" t="s">
        <v>637</v>
      </c>
      <c r="D5" s="15" t="s">
        <v>638</v>
      </c>
      <c r="E5" s="94">
        <v>500</v>
      </c>
      <c r="F5" s="94">
        <v>200</v>
      </c>
      <c r="G5" s="94">
        <v>150</v>
      </c>
      <c r="H5" s="95">
        <f>E5+F5-G5</f>
        <v>550</v>
      </c>
      <c r="I5" s="85">
        <v>150</v>
      </c>
      <c r="J5" s="96">
        <f>E5*I5</f>
        <v>75000</v>
      </c>
      <c r="K5" s="96">
        <f>F5*I5</f>
        <v>30000</v>
      </c>
      <c r="L5" s="96">
        <f>G5*I5</f>
        <v>22500</v>
      </c>
      <c r="M5" s="96">
        <f>H5*I5</f>
        <v>82500</v>
      </c>
      <c r="N5" s="97" t="s">
        <v>183</v>
      </c>
    </row>
    <row r="6" spans="1:14" ht="18" customHeight="1" x14ac:dyDescent="0.3">
      <c r="A6" s="20" t="s">
        <v>69</v>
      </c>
      <c r="B6" s="20" t="s">
        <v>639</v>
      </c>
      <c r="C6" s="20" t="s">
        <v>640</v>
      </c>
      <c r="D6" s="20" t="s">
        <v>641</v>
      </c>
      <c r="E6" s="98">
        <v>100</v>
      </c>
      <c r="F6" s="98">
        <v>50</v>
      </c>
      <c r="G6" s="98">
        <v>30</v>
      </c>
      <c r="H6" s="99">
        <f>E6+F6-G6</f>
        <v>120</v>
      </c>
      <c r="I6" s="90">
        <v>80</v>
      </c>
      <c r="J6" s="100">
        <f>E6*I6</f>
        <v>8000</v>
      </c>
      <c r="K6" s="100">
        <f>F6*I6</f>
        <v>4000</v>
      </c>
      <c r="L6" s="100">
        <f>G6*I6</f>
        <v>2400</v>
      </c>
      <c r="M6" s="100">
        <f>H6*I6</f>
        <v>9600</v>
      </c>
      <c r="N6" s="101" t="s">
        <v>183</v>
      </c>
    </row>
    <row r="7" spans="1:14" ht="18" customHeight="1" x14ac:dyDescent="0.3">
      <c r="A7" s="15" t="s">
        <v>69</v>
      </c>
      <c r="B7" s="15" t="s">
        <v>643</v>
      </c>
      <c r="C7" s="15" t="s">
        <v>644</v>
      </c>
      <c r="D7" s="15" t="s">
        <v>645</v>
      </c>
      <c r="E7" s="94">
        <v>200</v>
      </c>
      <c r="F7" s="94">
        <v>0</v>
      </c>
      <c r="G7" s="94">
        <v>50</v>
      </c>
      <c r="H7" s="95">
        <f>E7+F7-G7</f>
        <v>150</v>
      </c>
      <c r="I7" s="85">
        <v>220</v>
      </c>
      <c r="J7" s="96">
        <f>E7*I7</f>
        <v>44000</v>
      </c>
      <c r="K7" s="96">
        <f>F7*I7</f>
        <v>0</v>
      </c>
      <c r="L7" s="96">
        <f>G7*I7</f>
        <v>11000</v>
      </c>
      <c r="M7" s="96">
        <f>H7*I7</f>
        <v>33000</v>
      </c>
      <c r="N7" s="97" t="s">
        <v>186</v>
      </c>
    </row>
    <row r="8" spans="1:14" x14ac:dyDescent="0.3">
      <c r="A8" s="138" t="s">
        <v>657</v>
      </c>
      <c r="B8" s="122"/>
      <c r="C8" s="122"/>
      <c r="D8" s="123"/>
      <c r="E8" s="93">
        <f>SUM(E5:E7)</f>
        <v>800</v>
      </c>
      <c r="F8" s="93">
        <f>SUM(F5:F7)</f>
        <v>250</v>
      </c>
      <c r="G8" s="93">
        <f>SUM(G5:G7)</f>
        <v>230</v>
      </c>
      <c r="H8" s="93">
        <f>SUM(H5:H7)</f>
        <v>820</v>
      </c>
      <c r="J8" s="93">
        <f>SUM(J5:J7)</f>
        <v>127000</v>
      </c>
      <c r="K8" s="93">
        <f>SUM(K5:K7)</f>
        <v>34000</v>
      </c>
      <c r="L8" s="93">
        <f>SUM(L5:L7)</f>
        <v>35900</v>
      </c>
      <c r="M8" s="93">
        <f>SUM(M5:M7)</f>
        <v>125100</v>
      </c>
    </row>
  </sheetData>
  <autoFilter ref="A4:N4" xr:uid="{00000000-0009-0000-0000-000007000000}"/>
  <mergeCells count="2">
    <mergeCell ref="A8:D8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40" customWidth="1"/>
    <col min="3" max="6" width="18" customWidth="1"/>
    <col min="7" max="7" width="14" customWidth="1"/>
    <col min="8" max="8" width="18" customWidth="1"/>
  </cols>
  <sheetData>
    <row r="1" spans="1:8" ht="36" customHeight="1" x14ac:dyDescent="0.3">
      <c r="A1" s="125" t="s">
        <v>658</v>
      </c>
      <c r="B1" s="121"/>
      <c r="C1" s="121"/>
      <c r="D1" s="121"/>
      <c r="E1" s="121"/>
      <c r="F1" s="121"/>
      <c r="G1" s="121"/>
      <c r="H1" s="121"/>
    </row>
    <row r="3" spans="1:8" ht="28.05" customHeight="1" x14ac:dyDescent="0.3">
      <c r="A3" s="13" t="s">
        <v>398</v>
      </c>
      <c r="B3" s="13" t="s">
        <v>599</v>
      </c>
      <c r="C3" s="13" t="s">
        <v>534</v>
      </c>
      <c r="D3" s="13" t="s">
        <v>535</v>
      </c>
      <c r="E3" s="13" t="s">
        <v>536</v>
      </c>
      <c r="F3" s="13" t="s">
        <v>403</v>
      </c>
      <c r="G3" s="13" t="s">
        <v>659</v>
      </c>
      <c r="H3" s="13" t="s">
        <v>660</v>
      </c>
    </row>
    <row r="5" spans="1:8" ht="18" customHeight="1" x14ac:dyDescent="0.3">
      <c r="A5" s="71" t="s">
        <v>591</v>
      </c>
      <c r="B5" s="71" t="s">
        <v>661</v>
      </c>
      <c r="C5" s="71" t="s">
        <v>115</v>
      </c>
      <c r="D5" s="102">
        <v>0</v>
      </c>
      <c r="E5" s="102">
        <v>0</v>
      </c>
      <c r="F5" s="102">
        <v>0</v>
      </c>
      <c r="G5" s="103"/>
      <c r="H5" s="92"/>
    </row>
    <row r="6" spans="1:8" ht="18" customHeight="1" x14ac:dyDescent="0.3">
      <c r="A6" s="20" t="s">
        <v>408</v>
      </c>
      <c r="B6" s="20" t="s">
        <v>662</v>
      </c>
      <c r="C6" s="20" t="s">
        <v>118</v>
      </c>
      <c r="D6" s="63">
        <v>0</v>
      </c>
      <c r="E6" s="63">
        <v>0</v>
      </c>
      <c r="F6" s="63">
        <v>0</v>
      </c>
      <c r="G6" s="64" t="str">
        <f>IF(D6&lt;&gt;0,D6/D6,"")</f>
        <v/>
      </c>
      <c r="H6" s="91"/>
    </row>
    <row r="7" spans="1:8" ht="18" customHeight="1" x14ac:dyDescent="0.3">
      <c r="A7" s="15" t="s">
        <v>411</v>
      </c>
      <c r="B7" s="15" t="s">
        <v>663</v>
      </c>
      <c r="C7" s="15" t="s">
        <v>664</v>
      </c>
      <c r="D7" s="58">
        <v>0</v>
      </c>
      <c r="E7" s="58">
        <v>0</v>
      </c>
      <c r="F7" s="58">
        <v>0</v>
      </c>
      <c r="G7" s="59" t="str">
        <f>IF(D7&lt;&gt;0,D7/D7,"")</f>
        <v/>
      </c>
      <c r="H7" s="86"/>
    </row>
    <row r="8" spans="1:8" ht="18" customHeight="1" x14ac:dyDescent="0.3">
      <c r="A8" s="72" t="s">
        <v>432</v>
      </c>
      <c r="B8" s="72" t="s">
        <v>665</v>
      </c>
      <c r="C8" s="72"/>
      <c r="D8" s="73">
        <v>0</v>
      </c>
      <c r="E8" s="73">
        <v>0</v>
      </c>
      <c r="F8" s="73">
        <v>0</v>
      </c>
      <c r="G8" s="78"/>
      <c r="H8" s="74"/>
    </row>
    <row r="9" spans="1:8" ht="6" customHeight="1" x14ac:dyDescent="0.3"/>
    <row r="10" spans="1:8" ht="18" customHeight="1" x14ac:dyDescent="0.3">
      <c r="A10" s="71" t="s">
        <v>666</v>
      </c>
      <c r="B10" s="71" t="s">
        <v>667</v>
      </c>
      <c r="C10" s="71" t="s">
        <v>366</v>
      </c>
      <c r="D10" s="102">
        <v>0</v>
      </c>
      <c r="E10" s="102">
        <v>0</v>
      </c>
      <c r="F10" s="102">
        <v>0</v>
      </c>
      <c r="G10" s="103"/>
      <c r="H10" s="92"/>
    </row>
    <row r="11" spans="1:8" ht="18" customHeight="1" x14ac:dyDescent="0.3">
      <c r="A11" s="15" t="s">
        <v>435</v>
      </c>
      <c r="B11" s="15" t="s">
        <v>668</v>
      </c>
      <c r="C11" s="15" t="s">
        <v>669</v>
      </c>
      <c r="D11" s="58">
        <v>0</v>
      </c>
      <c r="E11" s="58">
        <v>0</v>
      </c>
      <c r="F11" s="58">
        <v>0</v>
      </c>
      <c r="G11" s="59" t="str">
        <f>IF(D11&lt;&gt;0,D11/D11,"")</f>
        <v/>
      </c>
      <c r="H11" s="86"/>
    </row>
    <row r="12" spans="1:8" ht="18" customHeight="1" x14ac:dyDescent="0.3">
      <c r="A12" s="20" t="s">
        <v>437</v>
      </c>
      <c r="B12" s="20" t="s">
        <v>670</v>
      </c>
      <c r="C12" s="20" t="s">
        <v>671</v>
      </c>
      <c r="D12" s="63">
        <v>0</v>
      </c>
      <c r="E12" s="63">
        <v>0</v>
      </c>
      <c r="F12" s="63">
        <v>0</v>
      </c>
      <c r="G12" s="64" t="str">
        <f>IF(D12&lt;&gt;0,D12/D12,"")</f>
        <v/>
      </c>
      <c r="H12" s="91"/>
    </row>
    <row r="13" spans="1:8" ht="18" customHeight="1" x14ac:dyDescent="0.3">
      <c r="A13" s="72" t="s">
        <v>457</v>
      </c>
      <c r="B13" s="72" t="s">
        <v>672</v>
      </c>
      <c r="C13" s="72"/>
      <c r="D13" s="73">
        <v>0</v>
      </c>
      <c r="E13" s="73">
        <v>0</v>
      </c>
      <c r="F13" s="73">
        <v>0</v>
      </c>
      <c r="G13" s="78"/>
      <c r="H13" s="74"/>
    </row>
    <row r="14" spans="1:8" ht="6" customHeight="1" x14ac:dyDescent="0.3"/>
    <row r="15" spans="1:8" ht="18" customHeight="1" x14ac:dyDescent="0.3">
      <c r="A15" s="71" t="s">
        <v>673</v>
      </c>
      <c r="B15" s="71" t="s">
        <v>674</v>
      </c>
      <c r="C15" s="71" t="s">
        <v>371</v>
      </c>
      <c r="D15" s="102">
        <v>0</v>
      </c>
      <c r="E15" s="102">
        <v>0</v>
      </c>
      <c r="F15" s="102">
        <v>0</v>
      </c>
      <c r="G15" s="103"/>
      <c r="H15" s="92"/>
    </row>
    <row r="16" spans="1:8" ht="18" customHeight="1" x14ac:dyDescent="0.3">
      <c r="A16" s="20" t="s">
        <v>463</v>
      </c>
      <c r="B16" s="20" t="s">
        <v>675</v>
      </c>
      <c r="C16" s="20" t="s">
        <v>676</v>
      </c>
      <c r="D16" s="63">
        <v>0</v>
      </c>
      <c r="E16" s="63">
        <v>0</v>
      </c>
      <c r="F16" s="63">
        <v>0</v>
      </c>
      <c r="G16" s="64" t="str">
        <f t="shared" ref="G16:G22" si="0">IF(D16&lt;&gt;0,D16/D16,"")</f>
        <v/>
      </c>
      <c r="H16" s="91"/>
    </row>
    <row r="17" spans="1:8" ht="18" customHeight="1" x14ac:dyDescent="0.3">
      <c r="A17" s="15" t="s">
        <v>466</v>
      </c>
      <c r="B17" s="15" t="s">
        <v>677</v>
      </c>
      <c r="C17" s="15" t="s">
        <v>678</v>
      </c>
      <c r="D17" s="58">
        <v>0</v>
      </c>
      <c r="E17" s="58">
        <v>0</v>
      </c>
      <c r="F17" s="58">
        <v>0</v>
      </c>
      <c r="G17" s="59" t="str">
        <f t="shared" si="0"/>
        <v/>
      </c>
      <c r="H17" s="86"/>
    </row>
    <row r="18" spans="1:8" ht="18" customHeight="1" x14ac:dyDescent="0.3">
      <c r="A18" s="20" t="s">
        <v>469</v>
      </c>
      <c r="B18" s="20" t="s">
        <v>679</v>
      </c>
      <c r="C18" s="20" t="s">
        <v>680</v>
      </c>
      <c r="D18" s="63">
        <v>0</v>
      </c>
      <c r="E18" s="63">
        <v>0</v>
      </c>
      <c r="F18" s="63">
        <v>0</v>
      </c>
      <c r="G18" s="64" t="str">
        <f t="shared" si="0"/>
        <v/>
      </c>
      <c r="H18" s="91"/>
    </row>
    <row r="19" spans="1:8" ht="18" customHeight="1" x14ac:dyDescent="0.3">
      <c r="A19" s="15" t="s">
        <v>472</v>
      </c>
      <c r="B19" s="15" t="s">
        <v>681</v>
      </c>
      <c r="C19" s="15" t="s">
        <v>682</v>
      </c>
      <c r="D19" s="58">
        <v>0</v>
      </c>
      <c r="E19" s="58">
        <v>0</v>
      </c>
      <c r="F19" s="58">
        <v>0</v>
      </c>
      <c r="G19" s="59" t="str">
        <f t="shared" si="0"/>
        <v/>
      </c>
      <c r="H19" s="86"/>
    </row>
    <row r="20" spans="1:8" ht="18" customHeight="1" x14ac:dyDescent="0.3">
      <c r="A20" s="20" t="s">
        <v>475</v>
      </c>
      <c r="B20" s="20" t="s">
        <v>683</v>
      </c>
      <c r="C20" s="20" t="s">
        <v>684</v>
      </c>
      <c r="D20" s="63">
        <v>0</v>
      </c>
      <c r="E20" s="63">
        <v>0</v>
      </c>
      <c r="F20" s="63">
        <v>0</v>
      </c>
      <c r="G20" s="64" t="str">
        <f t="shared" si="0"/>
        <v/>
      </c>
      <c r="H20" s="91"/>
    </row>
    <row r="21" spans="1:8" ht="18" customHeight="1" x14ac:dyDescent="0.3">
      <c r="A21" s="15" t="s">
        <v>478</v>
      </c>
      <c r="B21" s="15" t="s">
        <v>685</v>
      </c>
      <c r="C21" s="15" t="s">
        <v>686</v>
      </c>
      <c r="D21" s="58">
        <v>0</v>
      </c>
      <c r="E21" s="58">
        <v>0</v>
      </c>
      <c r="F21" s="58">
        <v>0</v>
      </c>
      <c r="G21" s="59" t="str">
        <f t="shared" si="0"/>
        <v/>
      </c>
      <c r="H21" s="86"/>
    </row>
    <row r="22" spans="1:8" ht="18" customHeight="1" x14ac:dyDescent="0.3">
      <c r="A22" s="20" t="s">
        <v>481</v>
      </c>
      <c r="B22" s="20" t="s">
        <v>687</v>
      </c>
      <c r="C22" s="20" t="s">
        <v>688</v>
      </c>
      <c r="D22" s="63">
        <v>0</v>
      </c>
      <c r="E22" s="63">
        <v>0</v>
      </c>
      <c r="F22" s="63">
        <v>0</v>
      </c>
      <c r="G22" s="64" t="str">
        <f t="shared" si="0"/>
        <v/>
      </c>
      <c r="H22" s="91"/>
    </row>
    <row r="23" spans="1:8" ht="18" customHeight="1" x14ac:dyDescent="0.3">
      <c r="A23" s="72" t="s">
        <v>490</v>
      </c>
      <c r="B23" s="72" t="s">
        <v>689</v>
      </c>
      <c r="C23" s="72"/>
      <c r="D23" s="73">
        <v>0</v>
      </c>
      <c r="E23" s="73">
        <v>0</v>
      </c>
      <c r="F23" s="73">
        <v>0</v>
      </c>
      <c r="G23" s="78"/>
      <c r="H23" s="74"/>
    </row>
    <row r="24" spans="1:8" ht="6" customHeight="1" x14ac:dyDescent="0.3"/>
    <row r="25" spans="1:8" ht="18" customHeight="1" x14ac:dyDescent="0.3">
      <c r="A25" s="75" t="s">
        <v>690</v>
      </c>
      <c r="B25" s="75" t="s">
        <v>691</v>
      </c>
      <c r="C25" s="75"/>
      <c r="D25" s="76">
        <v>0</v>
      </c>
      <c r="E25" s="76">
        <v>0</v>
      </c>
      <c r="F25" s="76">
        <v>0</v>
      </c>
      <c r="G25" s="79"/>
      <c r="H25" s="77"/>
    </row>
    <row r="26" spans="1:8" ht="6" customHeight="1" x14ac:dyDescent="0.3"/>
    <row r="27" spans="1:8" ht="18" customHeight="1" x14ac:dyDescent="0.3">
      <c r="A27" s="15" t="s">
        <v>692</v>
      </c>
      <c r="B27" s="15" t="s">
        <v>693</v>
      </c>
      <c r="C27" s="15" t="s">
        <v>186</v>
      </c>
      <c r="D27" s="58">
        <v>0</v>
      </c>
      <c r="E27" s="58">
        <v>0</v>
      </c>
      <c r="F27" s="58">
        <v>0</v>
      </c>
      <c r="G27" s="59" t="str">
        <f>IF(D28&lt;&gt;0,D27/D27,"")</f>
        <v/>
      </c>
      <c r="H27" s="86"/>
    </row>
    <row r="28" spans="1:8" ht="18" customHeight="1" x14ac:dyDescent="0.3">
      <c r="A28" s="75" t="s">
        <v>694</v>
      </c>
      <c r="B28" s="75" t="s">
        <v>695</v>
      </c>
      <c r="C28" s="75"/>
      <c r="D28" s="76">
        <v>0</v>
      </c>
      <c r="E28" s="76">
        <v>0</v>
      </c>
      <c r="F28" s="76">
        <v>0</v>
      </c>
      <c r="G28" s="79"/>
      <c r="H28" s="77"/>
    </row>
    <row r="29" spans="1:8" ht="6" customHeight="1" x14ac:dyDescent="0.3"/>
    <row r="30" spans="1:8" ht="18" customHeight="1" x14ac:dyDescent="0.3">
      <c r="A30" s="20" t="s">
        <v>696</v>
      </c>
      <c r="B30" s="20" t="s">
        <v>697</v>
      </c>
      <c r="C30" s="20" t="s">
        <v>189</v>
      </c>
      <c r="D30" s="63">
        <v>0</v>
      </c>
      <c r="E30" s="63">
        <v>0</v>
      </c>
      <c r="F30" s="63">
        <v>0</v>
      </c>
      <c r="G30" s="64" t="str">
        <f>IF(D32&lt;&gt;0,D30/D30,"")</f>
        <v/>
      </c>
      <c r="H30" s="91"/>
    </row>
    <row r="31" spans="1:8" ht="18" customHeight="1" x14ac:dyDescent="0.3">
      <c r="A31" s="75" t="s">
        <v>698</v>
      </c>
      <c r="B31" s="75" t="s">
        <v>699</v>
      </c>
      <c r="C31" s="75"/>
      <c r="D31" s="76">
        <v>0</v>
      </c>
      <c r="E31" s="76">
        <v>0</v>
      </c>
      <c r="F31" s="76">
        <v>0</v>
      </c>
      <c r="G31" s="79"/>
      <c r="H31" s="77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"/>
  <sheetViews>
    <sheetView showGridLines="0" workbookViewId="0">
      <pane xSplit="3" ySplit="3" topLeftCell="D4" activePane="bottomRight" state="frozen"/>
      <selection pane="topRight"/>
      <selection pane="bottomLeft"/>
      <selection pane="bottomRight" sqref="A1:P1"/>
    </sheetView>
  </sheetViews>
  <sheetFormatPr defaultRowHeight="14.4" x14ac:dyDescent="0.3"/>
  <cols>
    <col min="1" max="1" width="10" customWidth="1"/>
    <col min="2" max="2" width="30" customWidth="1"/>
    <col min="3" max="3" width="18" customWidth="1"/>
    <col min="4" max="4" width="16" customWidth="1"/>
    <col min="5" max="5" width="18" customWidth="1"/>
    <col min="6" max="6" width="12" customWidth="1"/>
    <col min="7" max="8" width="14" customWidth="1"/>
    <col min="9" max="10" width="18" customWidth="1"/>
    <col min="11" max="11" width="16" customWidth="1"/>
    <col min="12" max="14" width="14" customWidth="1"/>
    <col min="15" max="15" width="18" customWidth="1"/>
    <col min="16" max="16" width="20" customWidth="1"/>
  </cols>
  <sheetData>
    <row r="1" spans="1:16" ht="36" customHeight="1" x14ac:dyDescent="0.3">
      <c r="A1" s="125" t="s">
        <v>700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</row>
    <row r="3" spans="1:16" ht="42" customHeight="1" x14ac:dyDescent="0.3">
      <c r="A3" s="13" t="s">
        <v>701</v>
      </c>
      <c r="B3" s="13" t="s">
        <v>702</v>
      </c>
      <c r="C3" s="13" t="s">
        <v>632</v>
      </c>
      <c r="D3" s="13" t="s">
        <v>703</v>
      </c>
      <c r="E3" s="13" t="s">
        <v>704</v>
      </c>
      <c r="F3" s="13" t="s">
        <v>705</v>
      </c>
      <c r="G3" s="13" t="s">
        <v>706</v>
      </c>
      <c r="H3" s="13" t="s">
        <v>707</v>
      </c>
      <c r="I3" s="13" t="s">
        <v>708</v>
      </c>
      <c r="J3" s="13" t="s">
        <v>709</v>
      </c>
      <c r="K3" s="13" t="s">
        <v>710</v>
      </c>
      <c r="L3" s="13" t="s">
        <v>711</v>
      </c>
      <c r="M3" s="13" t="s">
        <v>712</v>
      </c>
      <c r="N3" s="13" t="s">
        <v>713</v>
      </c>
      <c r="O3" s="13" t="s">
        <v>62</v>
      </c>
      <c r="P3" s="13" t="s">
        <v>714</v>
      </c>
    </row>
    <row r="4" spans="1:16" ht="18" customHeight="1" x14ac:dyDescent="0.3">
      <c r="A4" s="20" t="s">
        <v>715</v>
      </c>
      <c r="B4" s="20" t="s">
        <v>716</v>
      </c>
      <c r="C4" s="20" t="s">
        <v>218</v>
      </c>
      <c r="D4" s="20" t="s">
        <v>717</v>
      </c>
      <c r="E4" s="23">
        <v>250000</v>
      </c>
      <c r="F4" s="91" t="s">
        <v>718</v>
      </c>
      <c r="G4" s="87" t="s">
        <v>136</v>
      </c>
      <c r="H4" s="104">
        <f>1/G4</f>
        <v>0.1</v>
      </c>
      <c r="I4" s="22">
        <v>125000</v>
      </c>
      <c r="J4" s="105">
        <f>E4-I4</f>
        <v>125000</v>
      </c>
      <c r="K4" s="105">
        <f>E4*H4</f>
        <v>25000</v>
      </c>
      <c r="L4" s="91"/>
      <c r="M4" s="22"/>
      <c r="N4" s="22"/>
      <c r="O4" s="91" t="s">
        <v>719</v>
      </c>
      <c r="P4" s="91" t="s">
        <v>219</v>
      </c>
    </row>
    <row r="5" spans="1:16" ht="18" customHeight="1" x14ac:dyDescent="0.3">
      <c r="A5" s="15" t="s">
        <v>720</v>
      </c>
      <c r="B5" s="15" t="s">
        <v>721</v>
      </c>
      <c r="C5" s="15" t="s">
        <v>221</v>
      </c>
      <c r="D5" s="15" t="s">
        <v>722</v>
      </c>
      <c r="E5" s="18">
        <v>850000</v>
      </c>
      <c r="F5" s="86" t="s">
        <v>718</v>
      </c>
      <c r="G5" s="82" t="s">
        <v>280</v>
      </c>
      <c r="H5" s="106">
        <f>1/G5</f>
        <v>0.2</v>
      </c>
      <c r="I5" s="17">
        <v>340000</v>
      </c>
      <c r="J5" s="107">
        <f>E5-I5</f>
        <v>510000</v>
      </c>
      <c r="K5" s="107">
        <f>E5*H5</f>
        <v>170000</v>
      </c>
      <c r="L5" s="86"/>
      <c r="M5" s="17"/>
      <c r="N5" s="17"/>
      <c r="O5" s="86" t="s">
        <v>723</v>
      </c>
      <c r="P5" s="86" t="s">
        <v>222</v>
      </c>
    </row>
    <row r="6" spans="1:16" ht="18" customHeight="1" x14ac:dyDescent="0.3">
      <c r="A6" s="20" t="s">
        <v>724</v>
      </c>
      <c r="B6" s="20" t="s">
        <v>725</v>
      </c>
      <c r="C6" s="20" t="s">
        <v>215</v>
      </c>
      <c r="D6" s="20" t="s">
        <v>726</v>
      </c>
      <c r="E6" s="23">
        <v>5000000</v>
      </c>
      <c r="F6" s="91" t="s">
        <v>718</v>
      </c>
      <c r="G6" s="87" t="s">
        <v>281</v>
      </c>
      <c r="H6" s="104">
        <f>1/G6</f>
        <v>0.02</v>
      </c>
      <c r="I6" s="22">
        <v>300000</v>
      </c>
      <c r="J6" s="105">
        <f>E6-I6</f>
        <v>4700000</v>
      </c>
      <c r="K6" s="105">
        <f>E6*H6</f>
        <v>100000</v>
      </c>
      <c r="L6" s="91"/>
      <c r="M6" s="22"/>
      <c r="N6" s="22"/>
      <c r="O6" s="91" t="s">
        <v>727</v>
      </c>
      <c r="P6" s="91" t="s">
        <v>216</v>
      </c>
    </row>
    <row r="7" spans="1:16" ht="18" customHeight="1" x14ac:dyDescent="0.3">
      <c r="A7" s="15" t="s">
        <v>728</v>
      </c>
      <c r="B7" s="15" t="s">
        <v>729</v>
      </c>
      <c r="C7" s="15" t="s">
        <v>233</v>
      </c>
      <c r="D7" s="15" t="s">
        <v>730</v>
      </c>
      <c r="E7" s="18">
        <v>180000</v>
      </c>
      <c r="F7" s="86" t="s">
        <v>718</v>
      </c>
      <c r="G7" s="82" t="s">
        <v>280</v>
      </c>
      <c r="H7" s="106">
        <f>1/G7</f>
        <v>0.2</v>
      </c>
      <c r="I7" s="17">
        <v>72000</v>
      </c>
      <c r="J7" s="107">
        <f>E7-I7</f>
        <v>108000</v>
      </c>
      <c r="K7" s="107">
        <f>E7*H7</f>
        <v>36000</v>
      </c>
      <c r="L7" s="86"/>
      <c r="M7" s="17"/>
      <c r="N7" s="17"/>
      <c r="O7" s="86" t="s">
        <v>731</v>
      </c>
      <c r="P7" s="86" t="s">
        <v>234</v>
      </c>
    </row>
    <row r="8" spans="1:16" x14ac:dyDescent="0.3">
      <c r="A8" s="138" t="s">
        <v>732</v>
      </c>
      <c r="B8" s="122"/>
      <c r="C8" s="122"/>
      <c r="D8" s="123"/>
      <c r="E8" s="108">
        <f>SUM(E4:E7)</f>
        <v>6280000</v>
      </c>
      <c r="I8" s="108">
        <f>SUM(I4:I7)</f>
        <v>837000</v>
      </c>
      <c r="J8" s="108">
        <f>SUM(J4:J7)</f>
        <v>5443000</v>
      </c>
      <c r="K8" s="108">
        <f>SUM(K4:K7)</f>
        <v>331000</v>
      </c>
      <c r="M8" s="108">
        <f>SUM(M4:M7)</f>
        <v>0</v>
      </c>
      <c r="N8" s="108">
        <f>SUM(N4:N7)</f>
        <v>0</v>
      </c>
    </row>
  </sheetData>
  <autoFilter ref="A3:P3" xr:uid="{00000000-0009-0000-0000-000009000000}"/>
  <mergeCells count="2">
    <mergeCell ref="A1:P1"/>
    <mergeCell ref="A8:D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3"/>
  <sheetViews>
    <sheetView showGridLines="0" workbookViewId="0">
      <pane ySplit="4" topLeftCell="A5" activePane="bottomLeft" state="frozen"/>
      <selection pane="bottomLeft" sqref="A1:I1"/>
    </sheetView>
  </sheetViews>
  <sheetFormatPr defaultRowHeight="14.4" x14ac:dyDescent="0.3"/>
  <cols>
    <col min="1" max="1" width="8" customWidth="1"/>
    <col min="2" max="2" width="38" customWidth="1"/>
    <col min="3" max="3" width="18" customWidth="1"/>
    <col min="4" max="9" width="16" customWidth="1"/>
  </cols>
  <sheetData>
    <row r="1" spans="1:9" ht="36" customHeight="1" x14ac:dyDescent="0.3">
      <c r="A1" s="125" t="s">
        <v>733</v>
      </c>
      <c r="B1" s="121"/>
      <c r="C1" s="121"/>
      <c r="D1" s="121"/>
      <c r="E1" s="121"/>
      <c r="F1" s="121"/>
      <c r="G1" s="121"/>
      <c r="H1" s="121"/>
      <c r="I1" s="121"/>
    </row>
    <row r="3" spans="1:9" ht="25.95" customHeight="1" x14ac:dyDescent="0.3">
      <c r="A3" s="13" t="s">
        <v>398</v>
      </c>
      <c r="B3" s="13" t="s">
        <v>734</v>
      </c>
      <c r="C3" s="13" t="s">
        <v>735</v>
      </c>
      <c r="D3" s="13" t="s">
        <v>736</v>
      </c>
      <c r="E3" s="13" t="s">
        <v>737</v>
      </c>
      <c r="F3" s="13" t="s">
        <v>738</v>
      </c>
      <c r="G3" s="13" t="s">
        <v>739</v>
      </c>
      <c r="H3" s="13" t="s">
        <v>740</v>
      </c>
      <c r="I3" s="13" t="s">
        <v>741</v>
      </c>
    </row>
    <row r="5" spans="1:9" ht="18" customHeight="1" x14ac:dyDescent="0.3">
      <c r="A5" s="136" t="s">
        <v>742</v>
      </c>
      <c r="B5" s="122"/>
      <c r="C5" s="122"/>
      <c r="D5" s="122"/>
      <c r="E5" s="122"/>
      <c r="F5" s="122"/>
      <c r="G5" s="122"/>
      <c r="H5" s="122"/>
      <c r="I5" s="123"/>
    </row>
    <row r="6" spans="1:9" ht="18" customHeight="1" x14ac:dyDescent="0.3">
      <c r="A6" s="20" t="s">
        <v>743</v>
      </c>
      <c r="B6" s="20" t="s">
        <v>744</v>
      </c>
      <c r="C6" s="20" t="s">
        <v>745</v>
      </c>
      <c r="D6" s="109">
        <v>0</v>
      </c>
      <c r="E6" s="109">
        <v>0</v>
      </c>
      <c r="F6" s="109">
        <v>0</v>
      </c>
      <c r="G6" s="109">
        <v>0</v>
      </c>
      <c r="H6" s="109">
        <v>0</v>
      </c>
      <c r="I6" s="109">
        <v>0</v>
      </c>
    </row>
    <row r="7" spans="1:9" ht="18" customHeight="1" x14ac:dyDescent="0.3">
      <c r="A7" s="15" t="s">
        <v>746</v>
      </c>
      <c r="B7" s="15" t="s">
        <v>747</v>
      </c>
      <c r="C7" s="15" t="s">
        <v>748</v>
      </c>
      <c r="D7" s="110">
        <v>0</v>
      </c>
      <c r="E7" s="110">
        <v>0</v>
      </c>
      <c r="F7" s="110">
        <v>0</v>
      </c>
      <c r="G7" s="110">
        <v>0</v>
      </c>
      <c r="H7" s="110">
        <v>0</v>
      </c>
      <c r="I7" s="110">
        <v>0</v>
      </c>
    </row>
    <row r="8" spans="1:9" ht="18" customHeight="1" x14ac:dyDescent="0.3">
      <c r="A8" s="20" t="s">
        <v>749</v>
      </c>
      <c r="B8" s="20" t="s">
        <v>750</v>
      </c>
      <c r="C8" s="20" t="s">
        <v>751</v>
      </c>
      <c r="D8" s="109">
        <v>0</v>
      </c>
      <c r="E8" s="109">
        <v>0</v>
      </c>
      <c r="F8" s="109">
        <v>0</v>
      </c>
      <c r="G8" s="109">
        <v>0</v>
      </c>
      <c r="H8" s="109">
        <v>0</v>
      </c>
      <c r="I8" s="109">
        <v>0</v>
      </c>
    </row>
    <row r="9" spans="1:9" ht="6" customHeight="1" x14ac:dyDescent="0.3"/>
    <row r="10" spans="1:9" ht="18" customHeight="1" x14ac:dyDescent="0.3">
      <c r="A10" s="136" t="s">
        <v>752</v>
      </c>
      <c r="B10" s="122"/>
      <c r="C10" s="122"/>
      <c r="D10" s="122"/>
      <c r="E10" s="122"/>
      <c r="F10" s="122"/>
      <c r="G10" s="122"/>
      <c r="H10" s="122"/>
      <c r="I10" s="123"/>
    </row>
    <row r="11" spans="1:9" ht="18" customHeight="1" x14ac:dyDescent="0.3">
      <c r="A11" s="15" t="s">
        <v>753</v>
      </c>
      <c r="B11" s="15" t="s">
        <v>754</v>
      </c>
      <c r="C11" s="15" t="s">
        <v>755</v>
      </c>
      <c r="D11" s="80">
        <v>0</v>
      </c>
      <c r="E11" s="80">
        <v>0</v>
      </c>
      <c r="F11" s="80">
        <v>0</v>
      </c>
      <c r="G11" s="80">
        <v>0</v>
      </c>
      <c r="H11" s="80">
        <v>0</v>
      </c>
      <c r="I11" s="80">
        <v>0</v>
      </c>
    </row>
    <row r="12" spans="1:9" ht="18" customHeight="1" x14ac:dyDescent="0.3">
      <c r="A12" s="20" t="s">
        <v>756</v>
      </c>
      <c r="B12" s="20" t="s">
        <v>757</v>
      </c>
      <c r="C12" s="20" t="s">
        <v>758</v>
      </c>
      <c r="D12" s="81">
        <v>0</v>
      </c>
      <c r="E12" s="81">
        <v>0</v>
      </c>
      <c r="F12" s="81">
        <v>0</v>
      </c>
      <c r="G12" s="81">
        <v>0</v>
      </c>
      <c r="H12" s="81">
        <v>0</v>
      </c>
      <c r="I12" s="81">
        <v>0</v>
      </c>
    </row>
    <row r="13" spans="1:9" ht="18" customHeight="1" x14ac:dyDescent="0.3">
      <c r="A13" s="15" t="s">
        <v>759</v>
      </c>
      <c r="B13" s="15" t="s">
        <v>760</v>
      </c>
      <c r="C13" s="15" t="s">
        <v>761</v>
      </c>
      <c r="D13" s="80">
        <v>0</v>
      </c>
      <c r="E13" s="80">
        <v>0</v>
      </c>
      <c r="F13" s="80">
        <v>0</v>
      </c>
      <c r="G13" s="80">
        <v>0</v>
      </c>
      <c r="H13" s="80">
        <v>0</v>
      </c>
      <c r="I13" s="80">
        <v>0</v>
      </c>
    </row>
    <row r="14" spans="1:9" ht="6" customHeight="1" x14ac:dyDescent="0.3"/>
    <row r="15" spans="1:9" ht="18" customHeight="1" x14ac:dyDescent="0.3">
      <c r="A15" s="136" t="s">
        <v>762</v>
      </c>
      <c r="B15" s="122"/>
      <c r="C15" s="122"/>
      <c r="D15" s="122"/>
      <c r="E15" s="122"/>
      <c r="F15" s="122"/>
      <c r="G15" s="122"/>
      <c r="H15" s="122"/>
      <c r="I15" s="123"/>
    </row>
    <row r="16" spans="1:9" ht="18" customHeight="1" x14ac:dyDescent="0.3">
      <c r="A16" s="20" t="s">
        <v>763</v>
      </c>
      <c r="B16" s="20" t="s">
        <v>764</v>
      </c>
      <c r="C16" s="20" t="s">
        <v>765</v>
      </c>
      <c r="D16" s="81">
        <v>0</v>
      </c>
      <c r="E16" s="81">
        <v>0</v>
      </c>
      <c r="F16" s="81">
        <v>0</v>
      </c>
      <c r="G16" s="81">
        <v>0</v>
      </c>
      <c r="H16" s="81">
        <v>0</v>
      </c>
      <c r="I16" s="81">
        <v>0</v>
      </c>
    </row>
    <row r="17" spans="1:9" ht="18" customHeight="1" x14ac:dyDescent="0.3">
      <c r="A17" s="15" t="s">
        <v>766</v>
      </c>
      <c r="B17" s="15" t="s">
        <v>767</v>
      </c>
      <c r="C17" s="15" t="s">
        <v>768</v>
      </c>
      <c r="D17" s="80">
        <v>0</v>
      </c>
      <c r="E17" s="80">
        <v>0</v>
      </c>
      <c r="F17" s="80">
        <v>0</v>
      </c>
      <c r="G17" s="80">
        <v>0</v>
      </c>
      <c r="H17" s="80">
        <v>0</v>
      </c>
      <c r="I17" s="80">
        <v>0</v>
      </c>
    </row>
    <row r="18" spans="1:9" ht="18" customHeight="1" x14ac:dyDescent="0.3">
      <c r="A18" s="20" t="s">
        <v>769</v>
      </c>
      <c r="B18" s="20" t="s">
        <v>770</v>
      </c>
      <c r="C18" s="20" t="s">
        <v>771</v>
      </c>
      <c r="D18" s="81">
        <v>0</v>
      </c>
      <c r="E18" s="81">
        <v>0</v>
      </c>
      <c r="F18" s="81">
        <v>0</v>
      </c>
      <c r="G18" s="81">
        <v>0</v>
      </c>
      <c r="H18" s="81">
        <v>0</v>
      </c>
      <c r="I18" s="81">
        <v>0</v>
      </c>
    </row>
    <row r="19" spans="1:9" ht="18" customHeight="1" x14ac:dyDescent="0.3">
      <c r="A19" s="15" t="s">
        <v>772</v>
      </c>
      <c r="B19" s="15" t="s">
        <v>773</v>
      </c>
      <c r="C19" s="15" t="s">
        <v>774</v>
      </c>
      <c r="D19" s="80">
        <v>0</v>
      </c>
      <c r="E19" s="80">
        <v>0</v>
      </c>
      <c r="F19" s="80">
        <v>0</v>
      </c>
      <c r="G19" s="80">
        <v>0</v>
      </c>
      <c r="H19" s="80">
        <v>0</v>
      </c>
      <c r="I19" s="80">
        <v>0</v>
      </c>
    </row>
    <row r="20" spans="1:9" ht="18" customHeight="1" x14ac:dyDescent="0.3">
      <c r="A20" s="20" t="s">
        <v>775</v>
      </c>
      <c r="B20" s="20" t="s">
        <v>776</v>
      </c>
      <c r="C20" s="20" t="s">
        <v>777</v>
      </c>
      <c r="D20" s="81">
        <v>0</v>
      </c>
      <c r="E20" s="81">
        <v>0</v>
      </c>
      <c r="F20" s="81">
        <v>0</v>
      </c>
      <c r="G20" s="81">
        <v>0</v>
      </c>
      <c r="H20" s="81">
        <v>0</v>
      </c>
      <c r="I20" s="81">
        <v>0</v>
      </c>
    </row>
    <row r="21" spans="1:9" ht="18" customHeight="1" x14ac:dyDescent="0.3">
      <c r="A21" s="15" t="s">
        <v>778</v>
      </c>
      <c r="B21" s="15" t="s">
        <v>779</v>
      </c>
      <c r="C21" s="15" t="s">
        <v>780</v>
      </c>
      <c r="D21" s="80">
        <v>0</v>
      </c>
      <c r="E21" s="80">
        <v>0</v>
      </c>
      <c r="F21" s="80">
        <v>0</v>
      </c>
      <c r="G21" s="80">
        <v>0</v>
      </c>
      <c r="H21" s="80">
        <v>0</v>
      </c>
      <c r="I21" s="80">
        <v>0</v>
      </c>
    </row>
    <row r="22" spans="1:9" ht="6" customHeight="1" x14ac:dyDescent="0.3"/>
    <row r="23" spans="1:9" ht="18" customHeight="1" x14ac:dyDescent="0.3">
      <c r="A23" s="136" t="s">
        <v>781</v>
      </c>
      <c r="B23" s="122"/>
      <c r="C23" s="122"/>
      <c r="D23" s="122"/>
      <c r="E23" s="122"/>
      <c r="F23" s="122"/>
      <c r="G23" s="122"/>
      <c r="H23" s="122"/>
      <c r="I23" s="123"/>
    </row>
    <row r="24" spans="1:9" ht="18" customHeight="1" x14ac:dyDescent="0.3">
      <c r="A24" s="20" t="s">
        <v>782</v>
      </c>
      <c r="B24" s="20" t="s">
        <v>783</v>
      </c>
      <c r="C24" s="20" t="s">
        <v>784</v>
      </c>
      <c r="D24" s="81">
        <v>0</v>
      </c>
      <c r="E24" s="81">
        <v>0</v>
      </c>
      <c r="F24" s="81">
        <v>0</v>
      </c>
      <c r="G24" s="81">
        <v>0</v>
      </c>
      <c r="H24" s="81">
        <v>0</v>
      </c>
      <c r="I24" s="81">
        <v>0</v>
      </c>
    </row>
    <row r="25" spans="1:9" ht="18" customHeight="1" x14ac:dyDescent="0.3">
      <c r="A25" s="15" t="s">
        <v>785</v>
      </c>
      <c r="B25" s="15" t="s">
        <v>786</v>
      </c>
      <c r="C25" s="15" t="s">
        <v>787</v>
      </c>
      <c r="D25" s="80">
        <v>0</v>
      </c>
      <c r="E25" s="80">
        <v>0</v>
      </c>
      <c r="F25" s="80">
        <v>0</v>
      </c>
      <c r="G25" s="80">
        <v>0</v>
      </c>
      <c r="H25" s="80">
        <v>0</v>
      </c>
      <c r="I25" s="80">
        <v>0</v>
      </c>
    </row>
    <row r="26" spans="1:9" ht="18" customHeight="1" x14ac:dyDescent="0.3">
      <c r="A26" s="20" t="s">
        <v>788</v>
      </c>
      <c r="B26" s="20" t="s">
        <v>789</v>
      </c>
      <c r="C26" s="20" t="s">
        <v>790</v>
      </c>
      <c r="D26" s="81">
        <v>0</v>
      </c>
      <c r="E26" s="81">
        <v>0</v>
      </c>
      <c r="F26" s="81">
        <v>0</v>
      </c>
      <c r="G26" s="81">
        <v>0</v>
      </c>
      <c r="H26" s="81">
        <v>0</v>
      </c>
      <c r="I26" s="81">
        <v>0</v>
      </c>
    </row>
    <row r="27" spans="1:9" ht="18" customHeight="1" x14ac:dyDescent="0.3">
      <c r="A27" s="15" t="s">
        <v>791</v>
      </c>
      <c r="B27" s="15" t="s">
        <v>792</v>
      </c>
      <c r="C27" s="15" t="s">
        <v>793</v>
      </c>
      <c r="D27" s="80">
        <v>0</v>
      </c>
      <c r="E27" s="80">
        <v>0</v>
      </c>
      <c r="F27" s="80">
        <v>0</v>
      </c>
      <c r="G27" s="80">
        <v>0</v>
      </c>
      <c r="H27" s="80">
        <v>0</v>
      </c>
      <c r="I27" s="80">
        <v>0</v>
      </c>
    </row>
    <row r="28" spans="1:9" ht="18" customHeight="1" x14ac:dyDescent="0.3">
      <c r="A28" s="20" t="s">
        <v>794</v>
      </c>
      <c r="B28" s="20" t="s">
        <v>795</v>
      </c>
      <c r="C28" s="20" t="s">
        <v>796</v>
      </c>
      <c r="D28" s="81">
        <v>0</v>
      </c>
      <c r="E28" s="81">
        <v>0</v>
      </c>
      <c r="F28" s="81">
        <v>0</v>
      </c>
      <c r="G28" s="81">
        <v>0</v>
      </c>
      <c r="H28" s="81">
        <v>0</v>
      </c>
      <c r="I28" s="81">
        <v>0</v>
      </c>
    </row>
    <row r="29" spans="1:9" ht="6" customHeight="1" x14ac:dyDescent="0.3"/>
    <row r="30" spans="1:9" ht="18" customHeight="1" x14ac:dyDescent="0.3">
      <c r="A30" s="136" t="s">
        <v>797</v>
      </c>
      <c r="B30" s="122"/>
      <c r="C30" s="122"/>
      <c r="D30" s="122"/>
      <c r="E30" s="122"/>
      <c r="F30" s="122"/>
      <c r="G30" s="122"/>
      <c r="H30" s="122"/>
      <c r="I30" s="123"/>
    </row>
    <row r="31" spans="1:9" ht="18" customHeight="1" x14ac:dyDescent="0.3">
      <c r="A31" s="15" t="s">
        <v>798</v>
      </c>
      <c r="B31" s="15" t="s">
        <v>799</v>
      </c>
      <c r="C31" s="15"/>
      <c r="D31" s="80">
        <v>0</v>
      </c>
      <c r="E31" s="80">
        <v>0</v>
      </c>
      <c r="F31" s="80">
        <v>0</v>
      </c>
      <c r="G31" s="80">
        <v>0</v>
      </c>
      <c r="H31" s="80">
        <v>0</v>
      </c>
      <c r="I31" s="80">
        <v>0</v>
      </c>
    </row>
    <row r="32" spans="1:9" ht="18" customHeight="1" x14ac:dyDescent="0.3">
      <c r="A32" s="20" t="s">
        <v>800</v>
      </c>
      <c r="B32" s="20" t="s">
        <v>801</v>
      </c>
      <c r="C32" s="20"/>
      <c r="D32" s="81">
        <v>0</v>
      </c>
      <c r="E32" s="81">
        <v>0</v>
      </c>
      <c r="F32" s="81">
        <v>0</v>
      </c>
      <c r="G32" s="81">
        <v>0</v>
      </c>
      <c r="H32" s="81">
        <v>0</v>
      </c>
      <c r="I32" s="81">
        <v>0</v>
      </c>
    </row>
    <row r="33" spans="1:9" ht="18" customHeight="1" x14ac:dyDescent="0.3">
      <c r="A33" s="15" t="s">
        <v>802</v>
      </c>
      <c r="B33" s="15" t="s">
        <v>803</v>
      </c>
      <c r="C33" s="15"/>
      <c r="D33" s="80">
        <v>0</v>
      </c>
      <c r="E33" s="80">
        <v>0</v>
      </c>
      <c r="F33" s="80">
        <v>0</v>
      </c>
      <c r="G33" s="80">
        <v>0</v>
      </c>
      <c r="H33" s="80">
        <v>0</v>
      </c>
      <c r="I33" s="80">
        <v>0</v>
      </c>
    </row>
  </sheetData>
  <mergeCells count="6">
    <mergeCell ref="A30:I30"/>
    <mergeCell ref="A15:I15"/>
    <mergeCell ref="A10:I10"/>
    <mergeCell ref="A5:I5"/>
    <mergeCell ref="A1:I1"/>
    <mergeCell ref="A23:I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6"/>
  <sheetViews>
    <sheetView showGridLines="0" workbookViewId="0">
      <selection sqref="A1:D1"/>
    </sheetView>
  </sheetViews>
  <sheetFormatPr defaultRowHeight="14.4" x14ac:dyDescent="0.3"/>
  <cols>
    <col min="1" max="1" width="26" customWidth="1"/>
    <col min="3" max="3" width="26" customWidth="1"/>
    <col min="5" max="5" width="26" customWidth="1"/>
    <col min="7" max="7" width="26" customWidth="1"/>
    <col min="9" max="9" width="26" customWidth="1"/>
    <col min="11" max="11" width="26" customWidth="1"/>
  </cols>
  <sheetData>
    <row r="1" spans="1:11" ht="36" customHeight="1" x14ac:dyDescent="0.3">
      <c r="A1" s="125" t="s">
        <v>804</v>
      </c>
      <c r="B1" s="121"/>
      <c r="C1" s="121"/>
      <c r="D1" s="121"/>
    </row>
    <row r="3" spans="1:11" ht="36" customHeight="1" x14ac:dyDescent="0.3">
      <c r="A3" s="13" t="s">
        <v>63</v>
      </c>
      <c r="C3" s="13" t="s">
        <v>805</v>
      </c>
      <c r="E3" s="13" t="s">
        <v>806</v>
      </c>
      <c r="G3" s="13" t="s">
        <v>807</v>
      </c>
      <c r="I3" s="13" t="s">
        <v>808</v>
      </c>
      <c r="K3" s="13" t="s">
        <v>62</v>
      </c>
    </row>
    <row r="4" spans="1:11" ht="16.05" customHeight="1" x14ac:dyDescent="0.3">
      <c r="A4" s="20" t="s">
        <v>809</v>
      </c>
      <c r="C4" s="20" t="s">
        <v>32</v>
      </c>
      <c r="E4" s="20" t="s">
        <v>111</v>
      </c>
      <c r="G4" s="20" t="s">
        <v>68</v>
      </c>
      <c r="I4" s="20" t="s">
        <v>810</v>
      </c>
      <c r="K4" s="20" t="s">
        <v>719</v>
      </c>
    </row>
    <row r="5" spans="1:11" ht="16.05" customHeight="1" x14ac:dyDescent="0.3">
      <c r="A5" s="15" t="s">
        <v>811</v>
      </c>
      <c r="C5" s="15" t="s">
        <v>812</v>
      </c>
      <c r="E5" s="15" t="s">
        <v>100</v>
      </c>
      <c r="G5" s="15" t="s">
        <v>95</v>
      </c>
      <c r="I5" s="15" t="s">
        <v>813</v>
      </c>
      <c r="K5" s="15" t="s">
        <v>814</v>
      </c>
    </row>
    <row r="6" spans="1:11" ht="16.05" customHeight="1" x14ac:dyDescent="0.3">
      <c r="A6" s="20" t="s">
        <v>815</v>
      </c>
      <c r="C6" s="20" t="s">
        <v>816</v>
      </c>
      <c r="E6" s="20" t="s">
        <v>74</v>
      </c>
      <c r="G6" s="20" t="s">
        <v>106</v>
      </c>
      <c r="I6" s="20" t="s">
        <v>817</v>
      </c>
      <c r="K6" s="20" t="s">
        <v>818</v>
      </c>
    </row>
    <row r="7" spans="1:11" ht="16.05" customHeight="1" x14ac:dyDescent="0.3">
      <c r="A7" s="15" t="s">
        <v>819</v>
      </c>
      <c r="C7" s="15" t="s">
        <v>820</v>
      </c>
      <c r="E7" s="15" t="s">
        <v>821</v>
      </c>
      <c r="G7" s="15" t="s">
        <v>822</v>
      </c>
      <c r="K7" s="15" t="s">
        <v>823</v>
      </c>
    </row>
    <row r="8" spans="1:11" ht="16.05" customHeight="1" x14ac:dyDescent="0.3">
      <c r="A8" s="20" t="s">
        <v>824</v>
      </c>
      <c r="C8" s="20" t="s">
        <v>825</v>
      </c>
      <c r="E8" s="20" t="s">
        <v>86</v>
      </c>
      <c r="G8" s="20" t="s">
        <v>117</v>
      </c>
      <c r="K8" s="20" t="s">
        <v>826</v>
      </c>
    </row>
    <row r="9" spans="1:11" ht="16.05" customHeight="1" x14ac:dyDescent="0.3">
      <c r="A9" s="15" t="s">
        <v>827</v>
      </c>
      <c r="C9" s="15" t="s">
        <v>828</v>
      </c>
      <c r="E9" s="15" t="s">
        <v>829</v>
      </c>
      <c r="G9" s="15" t="s">
        <v>393</v>
      </c>
      <c r="K9" s="15" t="s">
        <v>731</v>
      </c>
    </row>
    <row r="10" spans="1:11" ht="16.05" customHeight="1" x14ac:dyDescent="0.3">
      <c r="A10" s="20" t="s">
        <v>830</v>
      </c>
      <c r="C10" s="20" t="s">
        <v>831</v>
      </c>
      <c r="E10" s="20" t="s">
        <v>832</v>
      </c>
      <c r="G10" s="20" t="s">
        <v>833</v>
      </c>
      <c r="K10" s="20" t="s">
        <v>834</v>
      </c>
    </row>
    <row r="11" spans="1:11" ht="16.05" customHeight="1" x14ac:dyDescent="0.3">
      <c r="A11" s="15" t="s">
        <v>835</v>
      </c>
      <c r="C11" s="15" t="s">
        <v>836</v>
      </c>
      <c r="E11" s="15" t="s">
        <v>837</v>
      </c>
      <c r="K11" s="15" t="s">
        <v>838</v>
      </c>
    </row>
    <row r="12" spans="1:11" ht="16.05" customHeight="1" x14ac:dyDescent="0.3">
      <c r="A12" s="20" t="s">
        <v>839</v>
      </c>
      <c r="E12" s="20" t="s">
        <v>840</v>
      </c>
      <c r="K12" s="20" t="s">
        <v>841</v>
      </c>
    </row>
    <row r="13" spans="1:11" ht="16.05" customHeight="1" x14ac:dyDescent="0.3">
      <c r="A13" s="15" t="s">
        <v>842</v>
      </c>
      <c r="E13" s="15" t="s">
        <v>843</v>
      </c>
    </row>
    <row r="14" spans="1:11" ht="16.05" customHeight="1" x14ac:dyDescent="0.3">
      <c r="E14" s="20" t="s">
        <v>844</v>
      </c>
    </row>
    <row r="15" spans="1:11" ht="16.05" customHeight="1" x14ac:dyDescent="0.3">
      <c r="E15" s="15" t="s">
        <v>845</v>
      </c>
    </row>
    <row r="16" spans="1:11" ht="16.05" customHeight="1" x14ac:dyDescent="0.3">
      <c r="E16" s="20" t="s">
        <v>846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📋 ANAsayfa</vt:lpstr>
      <vt:lpstr>📒 Muavin Defter</vt:lpstr>
      <vt:lpstr>🗂 Hesap Planı</vt:lpstr>
      <vt:lpstr>📊 Bilanço</vt:lpstr>
      <vt:lpstr>📈 Gelir Tablosu</vt:lpstr>
      <vt:lpstr>💡 EBITDA</vt:lpstr>
      <vt:lpstr>🏭 Üretim Reçetesi</vt:lpstr>
      <vt:lpstr>📦 Malzeme Ekstresi</vt:lpstr>
      <vt:lpstr>💰 Üretim Maliyet</vt:lpstr>
      <vt:lpstr>🏗 Sabit Kıymet</vt:lpstr>
      <vt:lpstr>📉 Finansal Özet</vt:lpstr>
      <vt:lpstr>🔧 Master 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Erkan Ekinci</cp:lastModifiedBy>
  <dcterms:created xsi:type="dcterms:W3CDTF">2026-03-20T20:30:18Z</dcterms:created>
  <dcterms:modified xsi:type="dcterms:W3CDTF">2026-03-20T21:11:35Z</dcterms:modified>
</cp:coreProperties>
</file>